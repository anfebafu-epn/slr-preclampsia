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smartworkec-my.sharepoint.com/personal/andres_bastidas_smartwork_com_ec/Documents/Archivos/Doctorado en Informática - EPN/Paper SLR Preclamsia 2025/1. Raw Search/"/>
    </mc:Choice>
  </mc:AlternateContent>
  <xr:revisionPtr revIDLastSave="130" documentId="11_24CCD699BED1C9B40147C54EE8F3BF94697B2726" xr6:coauthVersionLast="47" xr6:coauthVersionMax="47" xr10:uidLastSave="{5C46E9A0-33EA-4973-A196-221B3D62BD72}"/>
  <bookViews>
    <workbookView minimized="1" xWindow="17100" yWindow="-54360" windowWidth="28995" windowHeight="19740" xr2:uid="{00000000-000D-0000-FFFF-FFFF00000000}"/>
  </bookViews>
  <sheets>
    <sheet name="Resumen" sheetId="7" r:id="rId1"/>
    <sheet name="Springer" sheetId="1" r:id="rId2"/>
    <sheet name="Scopus" sheetId="2" r:id="rId3"/>
    <sheet name="PubMed" sheetId="5" r:id="rId4"/>
    <sheet name="ElSevier" sheetId="6" r:id="rId5"/>
    <sheet name="ACM DL" sheetId="4" r:id="rId6"/>
    <sheet name="IEEE"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7" l="1"/>
  <c r="J3" i="7"/>
  <c r="J4" i="7"/>
  <c r="J5" i="7"/>
  <c r="J6" i="7"/>
  <c r="J7" i="7"/>
  <c r="J8" i="7"/>
  <c r="J2" i="7"/>
  <c r="C9" i="7"/>
</calcChain>
</file>

<file path=xl/sharedStrings.xml><?xml version="1.0" encoding="utf-8"?>
<sst xmlns="http://schemas.openxmlformats.org/spreadsheetml/2006/main" count="267" uniqueCount="223">
  <si>
    <t>SpringerLink</t>
  </si>
  <si>
    <t>Content Type</t>
  </si>
  <si>
    <t xml:space="preserve">1. Article (45) </t>
  </si>
  <si>
    <t xml:space="preserve">2. Research article (26) </t>
  </si>
  <si>
    <t xml:space="preserve">3. Review article (15) </t>
  </si>
  <si>
    <t xml:space="preserve">4. Chapter (7) </t>
  </si>
  <si>
    <t xml:space="preserve">5. Conference paper (5) </t>
  </si>
  <si>
    <t>Publishing model</t>
  </si>
  <si>
    <t xml:space="preserve">1. Open access (24) </t>
  </si>
  <si>
    <t>https://doi.org/10.1038/s41467-025-58437-7</t>
  </si>
  <si>
    <t>https://doi.org/10.1007/978-3-031-38430-1_21</t>
  </si>
  <si>
    <t>https://doi.org/10.1007/s43995-025-00118-z</t>
  </si>
  <si>
    <t>https://doi.org/10.1038/s41598-025-06651-0</t>
  </si>
  <si>
    <t>https://doi.org/10.1186/s12978-025-02048-4</t>
  </si>
  <si>
    <t>https://doi.org/10.1007/978-981-99-2322-9_50</t>
  </si>
  <si>
    <t>https://doi.org/10.1038/s44294-024-00019-x</t>
  </si>
  <si>
    <t>https://doi.org/10.1007/s11135-025-02210-x</t>
  </si>
  <si>
    <t>https://doi.org/10.1186/s12884-023-05864-3</t>
  </si>
  <si>
    <t>https://doi.org/10.1007/s11096-024-01724-y</t>
  </si>
  <si>
    <t>https://doi.org/10.1007/s11664-025-12160-7</t>
  </si>
  <si>
    <t>https://doi.org/10.1186/s12916-024-03489-7</t>
  </si>
  <si>
    <t>https://doi.org/10.1007/s42452-025-07390-7</t>
  </si>
  <si>
    <t>https://doi.org/10.1186/s12911-025-02982-0</t>
  </si>
  <si>
    <t>https://doi.org/10.1186/s12982-025-00524-7</t>
  </si>
  <si>
    <t>https://doi.org/10.1007/978-981-97-7451-7_1</t>
  </si>
  <si>
    <t>https://doi.org/10.1038/s41372-024-02183-z</t>
  </si>
  <si>
    <t>https://doi.org/10.1007/978-3-031-88497-9_2</t>
  </si>
  <si>
    <t>https://doi.org/10.1007/s11042-024-18332-7</t>
  </si>
  <si>
    <t>https://doi.org/10.1007/s12170-025-00769-6</t>
  </si>
  <si>
    <t>https://doi.org/10.1038/s41467-025-59442-6</t>
  </si>
  <si>
    <t>https://doi.org/10.1186/s13012-025-01445-4</t>
  </si>
  <si>
    <t>https://doi.org/10.1007/s42979-025-03802-y</t>
  </si>
  <si>
    <t>https://doi.org/10.1038/s41572-025-00633-2</t>
  </si>
  <si>
    <t>https://doi.org/10.1007/978-981-97-8422-6_41</t>
  </si>
  <si>
    <t>https://doi.org/10.1007/s42979-022-01249-z</t>
  </si>
  <si>
    <t>https://doi.org/10.1186/s13643-023-02256-8</t>
  </si>
  <si>
    <t>https://doi.org/10.1007/s40137-021-00297-3</t>
  </si>
  <si>
    <t>https://doi.org/10.1007/s41666-021-00096-6</t>
  </si>
  <si>
    <t>https://doi.org/10.1007/978-3-030-92604-5_27</t>
  </si>
  <si>
    <t>https://doi.org/10.1007/s12170-024-00750-9</t>
  </si>
  <si>
    <t>https://doi.org/10.1007/s12170-023-00728-z</t>
  </si>
  <si>
    <t>https://doi.org/10.1007/s40615-025-02487-6</t>
  </si>
  <si>
    <t>https://doi.org/10.1038/s41598-022-15450-w</t>
  </si>
  <si>
    <t>https://doi.org/10.1186/s12959-023-00564-6</t>
  </si>
  <si>
    <t>https://doi.org/10.1038/s41598-023-35935-6</t>
  </si>
  <si>
    <t>https://doi.org/10.1038/s44161-022-00201-x</t>
  </si>
  <si>
    <t>https://doi.org/10.1038/s41440-023-01398-5</t>
  </si>
  <si>
    <t>https://doi.org/10.1007/s00134-023-07171-z</t>
  </si>
  <si>
    <t>https://doi.org/10.1007/s40292-024-00656-y</t>
  </si>
  <si>
    <t>https://doi.org/10.1038/s41372-021-01072-z</t>
  </si>
  <si>
    <t>https://doi.org/10.1007/s10928-020-09707-y</t>
  </si>
  <si>
    <t>https://doi.org/10.1007/s13410-022-01143-7</t>
  </si>
  <si>
    <t>https://doi.org/10.1038/s41433-020-0961-6</t>
  </si>
  <si>
    <t>https://doi.org/10.1007/s00210-022-02205-7</t>
  </si>
  <si>
    <t>DOI: 10.1038/s41467-025-58437-7</t>
  </si>
  <si>
    <t>DOI: 10.1186/s13040-025-00440-1</t>
  </si>
  <si>
    <t>DOI: 10.1186/s12884-025-07892-7</t>
  </si>
  <si>
    <t>DOI: 10.1016/j.xagr.2024.100420</t>
  </si>
  <si>
    <t>DOI: 10.56294/saludcyt20251531</t>
  </si>
  <si>
    <t>DOI: 10.1016/j.ijmedinf.2024.105645</t>
  </si>
  <si>
    <t>DOI: 10.1186/s12884-024-06933-x</t>
  </si>
  <si>
    <t>DOI: 10.1186/s12884-023-05486-9</t>
  </si>
  <si>
    <t>DOI: 10.1093/jamia/ocab161</t>
  </si>
  <si>
    <t>DOI: 10.1016/j.ajog.2020.10.030</t>
  </si>
  <si>
    <t>DOI: 10.1530/EC-24-0169</t>
  </si>
  <si>
    <t>https://doi.org/10.1530/EC-24-0169</t>
  </si>
  <si>
    <t>DOI: 10.1016/j.ajog.2024.02.299</t>
  </si>
  <si>
    <t>DOI: 10.1093/eurjpc/zwae087</t>
  </si>
  <si>
    <t>DOI: 10.3760/cma.j.cn113903-20230928-00241</t>
  </si>
  <si>
    <t>DOI: 10.1016/S2589-7500(23)00267-4</t>
  </si>
  <si>
    <t>DOI: 10.31083/j.ceog5103060</t>
  </si>
  <si>
    <t>DOI: 10.3389/fcvm.2024.1360238</t>
  </si>
  <si>
    <t>DOI: 10.2196/48997</t>
  </si>
  <si>
    <r>
      <t>DOI: 10.31083/j.ceog5008172</t>
    </r>
    <r>
      <rPr>
        <sz val="11"/>
        <color rgb="FF2E2E2E"/>
        <rFont val="Arial"/>
        <family val="2"/>
      </rPr>
      <t>Copy to clipboard</t>
    </r>
  </si>
  <si>
    <t>DOI: 10.18565/aig.2023.101</t>
  </si>
  <si>
    <t>DOI: 10.3389/fendo.2023.1130139</t>
  </si>
  <si>
    <t>DOI: 10.11855/j.issn.0577-7402.2022.08.0802</t>
  </si>
  <si>
    <t>DOI: 10.1016/j.ajog.2022.01.026</t>
  </si>
  <si>
    <t xml:space="preserve">DOI: 10.3760/cma.j.cn115624-20220512-00355
</t>
  </si>
  <si>
    <t>DOI: 10.1016/j.ajogmf.2020.100250</t>
  </si>
  <si>
    <t>DOI: 10.1016/j.ajogmf.2020.100100</t>
  </si>
  <si>
    <t>https://www.scopus.com/results/results.uri?st1=TITLE-ABS-KEY%28+++%28%22preeclampsia%22+OR+%22pre-eclampsia%22+OR+%22eclampsia%22%29+AND+++%28%22prediction%22+OR+%22predict%22+OR+%22risk+assessment%22+OR+%22risk+stratification%22+OR+%22early+detection%22+OR+%22screening%22+OR+%22clinical+prediction+model%22%29+AND+++%28%22pregnancy%22+OR+%22pregnant+women%22+OR+%22proteinuria%22+OR+%22hypertension+of+pregnancy%22%29+AND+++%28%22cohort+studies%22+OR+%22prospective+studies%22+OR+%22observational+study%22+OR+%22diagnostic+test%22+OR+%22validation%22%29+AND+++%28%22machine+learning%22+OR+%22artificial+intelligence%22+OR+%22deep+learning%22+OR+%22supervised+learning%22+OR+%22unsupervised+learning%22+OR+%22explainable+AI%22+OR+%22interpretable+model%22+OR+%22model+interpretability%22+OR+%22model+transparency%22+OR+%22explainability%22+OR+%22feature+importance%22%29+AND+++%28%22electronic+health+records%22+OR+%22EHR%22+OR+%22patient+data%22+OR+%22clinical+data%22+OR+%22structured+data%22%29+%29+AND+NOT+TITLE-ABS-KEY%28%22Biomarkers+of+preeclampsia%22+OR+%22Biomarkers+of+eclampsia%22%29&amp;st2=&amp;s=%28TITLE-ABS-KEY%28%28+%22preeclampsia%22+OR+%22pre-eclampsia%22+OR+%22eclampsia%22+%29+AND+%28+%22prediction%22+OR+%22predict%22+OR+%22risk+assessment%22+OR+%22risk+stratification%22+OR+%22early+detection%22+OR+%22screening%22+OR+%22clinical+prediction+model%22+%29+AND+%28+%22pregnancy%22+OR+%22pregnant+women%22+OR+%22proteinuria%22+OR+%22hypertension+of+pregnancy%22+%29+AND+%28+%22cohort+studies%22+OR+%22prospective+studies%22+OR+%22observational+study%22+OR+%22diagnostic+test%22+OR+%22validation%22+%29+AND+%28+%22machine+learning%22+OR+%22artificial+intelligence%22+OR+%22deep+learning%22+OR+%22supervised+learning%22+OR+%22unsupervised+learning%22+OR+%22explainable+AI%22+OR+%22interpretable+model%22+OR+%22model+interpretability%22+OR+%22model+transparency%22+OR+%22explainability%22+OR+%22feature+importance%22+%29+AND+%28+%22electronic+health+records%22+OR+%22EHR%22+OR+%22patient+data%22+OR+%22clinical+data%22+OR+%22structured+data%22+%29%29+AND+NOT+TITLE-ABS-KEY%28%22Biomarkers+of+preeclampsia%22+OR+%22Biomarkers+of+eclampsia%22%29%29&amp;limit=10&amp;origin=resultslist&amp;sort=plf-f&amp;src=s&amp;sot=b&amp;sdt=cl&amp;sessionSearchId=c4017e66f5c7681cdf85c6d1f5499b6c&amp;yearFrom=2020&amp;yearTo=2025&amp;offset=20</t>
  </si>
  <si>
    <t xml:space="preserve">TITLE-ABS-KEY((preeclampsia OR pre-eclampsia OR eclampsia) 
AND
  (prediction OR predict OR "risk assessment" OR "risk stratification" OR "early detection" OR screening OR "clinical prediction model") 
AND
  (pregnancy OR "pregnant women" OR proteinuria OR "hypertension of pregnancy") 
AND
  ("cohort studies" OR "prospective studies" OR "observational study" OR "diagnostic test" OR validation) 
AND
  ("machine learning" OR "artificial intelligence" OR "deep learning" OR "supervised learning" OR "unsupervised learning" OR "explainable AI" OR "interpretable model" OR "model interpretability" OR "model transparency" OR explainability OR "feature importance") 
AND
  ("electronic health records" OR EHR OR "patient data" OR "clinical data" OR "structured data")) 
AND NOT TITLE-ABS-KEY("biomarkers of preeclampsia" OR "biomarkers of eclampsia")
TITLE-ABS-KEY(preeclampsia OR "pre-eclampsia" OR eclampsia)
AND TITLE-ABS-KEY(prediction OR predict OR "risk assessment" OR "risk factor" OR "early detection" OR screening)
AND TITLE-ABS-KEY(pregnancy OR "pregnant women" OR "hypertension of pregnancy" OR proteinuria)
AND TITLE-ABS-KEY("cohort studies" OR "prospective studies" OR "observational study" OR "diagnostic test" OR validation)
AND TITLE-ABS-KEY("machine learning" OR "artificial intelligence" OR "deep learning" OR "supervised learning" OR "unsupervised learning" OR "explainable AI" OR "interpretable model" OR "model interpretability" OR "model transparency" OR explainability)
AND TITLE-ABS-KEY("electronic health records" OR EHR OR "patient data")
AND NOT TITLE-ABS-KEY("biomarkers of preeclampsia" OR "biomarkers of eclampsia")
AND NOT TITLE-ABS-KEY(imaging OR ultrasound OR mri OR "medical imaging" OR radiology OR doppler OR tomography OR echography OR sonography OR electrocardiogram OR ECG OR EKG)
</t>
  </si>
  <si>
    <t>2020-2025</t>
  </si>
  <si>
    <t>DOI: 10.1109/ESIC64052.2025.10962644</t>
  </si>
  <si>
    <t>DOI: 10.1109/ICITDA60835.2023.10426919</t>
  </si>
  <si>
    <t>DOI: 10.1109/EMBC40787.2023.10340404</t>
  </si>
  <si>
    <t>DOI: 10.1109/iCAST1.2018.8751588</t>
  </si>
  <si>
    <t>DOI: 10.1109/CcS49175.2020.9231400</t>
  </si>
  <si>
    <t>DOI: 10.1109/EMBC46164.2021.9630136</t>
  </si>
  <si>
    <t>DOI: 10.1109/BIBM49941.2020.9313108</t>
  </si>
  <si>
    <t>DOI: 10.1109/ICSCNA63714.2024.10864251</t>
  </si>
  <si>
    <t>DOI: 10.1109/EHB47216.2019.8970025</t>
  </si>
  <si>
    <t>DOI: 10.1109/ICSES60034.2023.10465376</t>
  </si>
  <si>
    <t>DOI: 10.1109/ICACCS60874.2024.10716889</t>
  </si>
  <si>
    <t>DOI: 10.1109/ECTIDAMTNCON51128.2021.9425764</t>
  </si>
  <si>
    <t>DOI: 10.1109/ICEIB61477.2024.10602647</t>
  </si>
  <si>
    <t>DOI: 10.1109/ICESIC61777.2024.10846126</t>
  </si>
  <si>
    <t>oportunidades basada en conferencias</t>
  </si>
  <si>
    <t>DOI: 10.1109/ICOA62581.2024.10753982</t>
  </si>
  <si>
    <t>https://ieeexplore.ieee.org/search/searchresult.jsp?newsearch=true&amp;queryText=(%22All%20Metadata%22:preeclampsia%20OR%20%22All%20Metadata%22:%22pre-eclampsia%22%20OR%20%22All%20Metadata%22:eclampsia)&amp;highlight=true&amp;returnFacets=ALL&amp;returnType=SEARCH&amp;matchPubs=true&amp;pageNumber=3</t>
  </si>
  <si>
    <t>https://doi.org/10.1145/3472813.3472816</t>
  </si>
  <si>
    <t>[Title: [ [[ "preeclampsia"]]] OR [Title: [ [ "pre-eclampsia"]]] OR [[Title: [[ [ "eclampsia"]]]] AND [Title: [ [[ "prediction"]]]]] OR [[Title: [[ []] AND [Title: [] AND [Title: "risk assessment"] AND [Title: ]] AND [Title: [ ]]]]] OR [[Title: [[ []] AND [Title: [] AND [Title: "risk factor"] AND [Title: ]] AND [Title: [ ]]]]] OR [[Title: [[ []] AND [Title: [] AND [Title: "early detection"] AND [Title: ]] AND [Title: [ ]]]]] OR [[Title: [[ [ "screening"]]]] AND [Title: [ [[ "pregnancy"]]]]] OR [[Title: [[ []] AND [Title: [] AND [Title: "pregnant women"] AND [Title: ]] AND [Title: [ ]]]]] OR [Title: [ [ "proteinuria"]]] OR [[Title: [[ []] AND [Title: [] AND [Title: "hypertension of pregnancy"] AND [Title: ]] AND [Title: [ ]]]] AND [Title: [ [[]] AND [Title: [] AND [Title: "cohort studies"] AND [Title: ]] AND [Title: [ ]]]]] OR [[Title: [[ []] AND [Title: [] AND [Title: "prospective studies"] AND [Title: ]] AND [Title: [ ]]]]] OR [[Title: [[ []] AND [Title: [] AND [Title: "observational study"] AND [Title: ]] AND [Title: [ ]]]]] OR [[Title: [[ []] AND [Title: [] AND [Title: "diagnostic test"] AND [Title: ]] AND [Title: [ ]]]]] OR [[Title: [[ [ "validation"]]]] AND [Title: [ [[]] AND [Title: [] AND [Title: "machine learning"] AND [Title: ]] AND [Title: [ ]]]]] OR [[Title: [[ []] AND [Title: [] AND [Title: "artificial intelligence"] AND [Title: ]] AND [Title: [ ]]]]] OR [[Title: [[ []] AND [Title: [] AND [Title: "deep learning"] AND [Title: ]] AND [Title: [ ]]]]] OR [[Title: [[ []] AND [Title: [] AND [Title: "supervised learning"] AND [Title: ]] AND [Title: [ ]]]]] OR [[Title: [[ []] AND [Title: [] AND [Title: "unsupervised learning"] AND [Title: ]]] AND [E-Publication Date: (01/01/2020 TO 08/31/2025)]</t>
  </si>
  <si>
    <t>https://dl.acm.org/action/doSearch?fillQuickSearch=false&amp;target=advanced&amp;expand=dl&amp;AfterMonth=1&amp;AfterYear=2020&amp;BeforeMonth=8&amp;BeforeYear=2025&amp;AllField=Title%3A%28%5BTitle%3A+%5B%5B+%22preeclampsia%22%5D%5D+OR+%5BTitle%3A+%5B+%22pre-eclampsia%22%5D%5D+OR+%5B%5BTitle%3A+%5B+%22eclampsia%22%5D%5D%5D+AND+%5BTitle%3A+%5B%5B+%22prediction%22%5D%5D%5D+OR+%5B%5BTitle%3A+%5B%5D+AND+%5BTitle%3A+%22risk+assessment%22%5D+AND+%5BTitle%3A+%5D%5D%5D+OR+%5B%5BTitle%3A+%5B%5D+AND+%5BTitle%3A+%22risk+factor%22%5D+AND+%5BTitle%3A+%5D%5D%5D+OR+%5B%5BTitle%3A+%5B%5D+AND+%5BTitle%3A+%22early+detection%22%5D+AND+%5BTitle%3A+%5D%5D%5D+OR+%5B%5BTitle%3A+%5B+%22screening%22%5D%5D%5D+AND+%5BTitle%3A+%5B%5B+%22pregnancy%22%5D%5D%5D+OR+%5B%5BTitle%3A+%5B%5D+AND+%5BTitle%3A+%22pregnant+women%22%5D+AND+%5BTitle%3A+%5D%5D%5D+OR+%5BTitle%3A+%5B+%22proteinuria%22%5D%5D+OR+%5B%5BTitle%3A+%5B%5D+AND+%5BTitle%3A+%22hypertension+of+pregnancy%22%5D+AND+%5BTitle%3A+%5D%5D%5D+AND+%5BTitle%3A+%5B%5B%5D+AND+%5BTitle%3A+%22cohort+studies%22%5D+AND+%5BTitle%3A+%5D%5D%5D+OR+%5B%5BTitle%3A+%5B%5D+AND+%5BTitle%3A+%22prospective+studies%22%5D+AND+%5BTitle%3A+%5D%5D%5D+OR+%5B%5BTitle%3A+%5B%5D+AND+%5BTitle%3A+%22observational+study%22%5D+AND+%5BTitle%3A+%5D%5D%5D+OR+%5B%5BTitle%3A+%5B%5D+AND+%5BTitle%3A+%22diagnostic+test%22%5D+AND+%5BTitle%3A+%5D%5D%5D+OR+%5B%5BTitle%3A+%5B+%22validation%22%5D%5D%5D+AND+%5BTitle%3A+%5B%5B%5D+AND+%5BTitle%3A+%22machine+learning%22%5D+AND+%5BTitle%3A+%5D%5D%5D+OR+%5B%5BTitle%3A+%5B%5D+AND+%5BTitle%3A+%22artificial+intelligence%22%5D+AND+%5BTitle%3A+%5D%5D%5D+OR+%5B%5BTitle%3A+%5B%5D+AND+%5BTitle%3A+%22deep+learning%22%5D+AND+%5BTitle%3A+%5D%5D%5D+OR+%5B%5BTitle%3A+%5B%5D+AND+%5BTitle%3A+%22supervised+learning%22%5D+AND+%5BTitle%3A+%5D%5D%5D+OR+%5B%5BTitle%3A+%5B%5D+AND+%5BTitle%3A+%22unsupervised+learning%22%5D%29</t>
  </si>
  <si>
    <t>doi: 10.1016/S2589-7500(23)00267-4</t>
  </si>
  <si>
    <t>doi: 10.1101/2023.08.16.23293946 
doi: 10.1371/journal.pone.0323873</t>
  </si>
  <si>
    <t>doi: 10.1186/s12884-023-05486-9</t>
  </si>
  <si>
    <t>doi: 10.1016/j.ajogmf.2020.100100</t>
  </si>
  <si>
    <t>doi: 10.1016/j.preghy.2021.10.006</t>
  </si>
  <si>
    <t>doi: 10.3171/2021.11.PEDS21390</t>
  </si>
  <si>
    <t>doi: 10.1016/j.ajog.2020.10.030</t>
  </si>
  <si>
    <t>doi: 10.1016/j.ajogmf.2020.100250</t>
  </si>
  <si>
    <t>doi: 10.2196/48997</t>
  </si>
  <si>
    <t>doi: 10.1186/s12884-025-07892-7</t>
  </si>
  <si>
    <t>doi: 10.1016/j.ajog.2024.02.299</t>
  </si>
  <si>
    <t>https://pubmed.ncbi.nlm.nih.gov/rss/search/1jKIOHIm0MJayjPnfROBrh10h6x9IEZJ_9mqF7jKaSMW3_9sqA/?limit=15&amp;utm_campaign=pubmed-2&amp;fc=20250821114146</t>
  </si>
  <si>
    <t>https://doi.org/10.1016/S2589-7500(23)00267-4</t>
  </si>
  <si>
    <t>https://doi.org/10.1016/B978-0-12-821848-8.00166-9</t>
  </si>
  <si>
    <t>https://doi.org/10.1016/j.bpobgyn.2024.102525</t>
  </si>
  <si>
    <t>https://doi.org/10.1016/j.bpobgyn.2024.102480</t>
  </si>
  <si>
    <t>https://doi.org/10.1016/j.bpobgyn.2024.102481</t>
  </si>
  <si>
    <t>https://doi.org/10.1016/j.bpobgyn.2023.102436</t>
  </si>
  <si>
    <t>https://doi.org/10.1016/j.bpobgyn.2023.102427</t>
  </si>
  <si>
    <t>https://doi.org/10.1016/j.ajog.2020.08.057</t>
  </si>
  <si>
    <t>doi.org/10.1016/j.patter.2022.100655</t>
  </si>
  <si>
    <t>doi.org/10.1016/j.jacadv.2022.100106</t>
  </si>
  <si>
    <t>doi.org/10.1016/j.autrev.2023.103496</t>
  </si>
  <si>
    <t>https://doi.org/10.1016/S2213-1779(25)00092-7</t>
  </si>
  <si>
    <t>https://doi.org/10.1016/j.jacc.2025.05.007</t>
  </si>
  <si>
    <t>https://doi.org/10.1016/j.ajt.2024.05.008</t>
  </si>
  <si>
    <t>doi.org/10.1016/j.jacc.2020.12.044</t>
  </si>
  <si>
    <t>doi.org/10.1053/j.ajkd.2023.04.010</t>
  </si>
  <si>
    <t>doi.org/10.1016/j.ajog.2022.06.038</t>
  </si>
  <si>
    <t>https://doi.org/10.1016/S2772-963X(22)00287-3</t>
  </si>
  <si>
    <t>doi.org/10.1016/j.ajt.2024.05.007</t>
  </si>
  <si>
    <t>doi.org/10.1016/j.preghy.2021.10.006</t>
  </si>
  <si>
    <t>doi.org/10.1016/S2772-963X(24)00256-4</t>
  </si>
  <si>
    <t>doi.org/10.1016/S2772-963X(24)00324-7</t>
  </si>
  <si>
    <t>doi.org/10.1016/j.rpth.2024.102503</t>
  </si>
  <si>
    <t>doi.org/10.1016/S2772-963X(23)00871-2</t>
  </si>
  <si>
    <t>doi.org/10.1016/j.artmed.2024.103057</t>
  </si>
  <si>
    <t>doi.org/10.1016/S2772-963X(25)00357-6</t>
  </si>
  <si>
    <t>doi.org/10.1016/B978-0-323-88369-6.09991-6</t>
  </si>
  <si>
    <t>doi.org/10.1016/S2772-963X(24)00101-7</t>
  </si>
  <si>
    <t>doi.org/10.1016/S2213-1779(23)00460-2</t>
  </si>
  <si>
    <t>doi.org/10.1016/S2589-7500(23)00267-4</t>
  </si>
  <si>
    <t>cadena para sciencedirect:</t>
  </si>
  <si>
    <t>https://www.sciencedirect.com/search?qs=preeclampsia%20AND%20%28prediction%20OR%20%22risk%20assessment%22%29%20AND%20%28%E2%80%9Cproteinuria%E2%80%9D%29%20AND%20%28%22prospective%20studies%22%20OR%20%22observational%20study%22%29%20AND%20%28%E2%80%9Cartificial%20intelligence%E2%80%9D%20OR%20%E2%80%9Cexplainability%E2%80%9D%29%20AND%20%28%22Electronic%20health%20records%22%20%29&amp;years=2021%2C2022%2C2023%2C2024%2C2025&amp;offset=0</t>
  </si>
  <si>
    <t>preeclampsia AND (prediction OR "risk assessment") AND (“proteinuria”) AND ("prospective studies" OR "observational study")</t>
  </si>
  <si>
    <t>AND (“artificial intelligence” OR “explainability”)</t>
  </si>
  <si>
    <t xml:space="preserve">AND ("Electronic health records" OR “EHR”) </t>
  </si>
  <si>
    <t>2021-2025</t>
  </si>
  <si>
    <t xml:space="preserve">con esta cadena: </t>
  </si>
  <si>
    <t xml:space="preserve">preeclampsia AND (prediction OR "risk assessment") AND (“proteinuria”) AND ("prospective studies" OR "observational study")
AND (“artificial intelligence” OR “explainability”)
AND ("Electronic health records" OR “EHR”) 
</t>
  </si>
  <si>
    <t>doi: 10.1007/s11606-024-08797-5</t>
  </si>
  <si>
    <t>doi: 10.1016/S2589-7500(23)00267-4</t>
  </si>
  <si>
    <t>doi: 10.1177/23969873241245672</t>
  </si>
  <si>
    <t>doi: 10.1007/s00404-022-06864-y</t>
  </si>
  <si>
    <t>doi: 10.1007/s11606-023-08226-z</t>
  </si>
  <si>
    <t>doi: 10.7759/cureus.83961</t>
  </si>
  <si>
    <t>doi: 10.3390/clinpract14040109</t>
  </si>
  <si>
    <t>doi: 10.1097/NMC.0000000000001082</t>
  </si>
  <si>
    <t>doi: 10.1177/2396987319845581</t>
  </si>
  <si>
    <t>doi: 10.3390/biomedicines13061483</t>
  </si>
  <si>
    <t>doi: 10.1146/annurev-biodatasci-020722-105958</t>
  </si>
  <si>
    <t>doi: 10.3389/fbioe.2021.780389</t>
  </si>
  <si>
    <t>doi: 10.5334/gh.1165</t>
  </si>
  <si>
    <t>doi: 10.1007/s00125-020-05221-5</t>
  </si>
  <si>
    <t>doi: 10.1097/01.HS9.0000852292.38263.b8</t>
  </si>
  <si>
    <t>doi: 10.1186/s13054-021-03769-1</t>
  </si>
  <si>
    <t>doi: 10.1002/jpr3.70024</t>
  </si>
  <si>
    <t>doi: 10.1002/rth2.12788</t>
  </si>
  <si>
    <t>doi: 10.1002/rth2.12125</t>
  </si>
  <si>
    <t>doi: 10.1038/s41431-021-01026-1</t>
  </si>
  <si>
    <t>doi: 10.1007/s00125-022-05755-w</t>
  </si>
  <si>
    <t>doi: 10.1177/23969873211034932</t>
  </si>
  <si>
    <t>doi: 10.1007/s13167-020-00206-1</t>
  </si>
  <si>
    <t>doi: 10.1002/hem3.70021</t>
  </si>
  <si>
    <t>10.1007/s11606-013-2436-y</t>
  </si>
  <si>
    <t>doi: 10.1038/s41598-022-15391-4</t>
  </si>
  <si>
    <t>doi: 10.1038/s41431-023-01481-y</t>
  </si>
  <si>
    <t>doi: 10.1038/s41431-019-0404-7</t>
  </si>
  <si>
    <t>doi: 10.3390/biomedicines12102203</t>
  </si>
  <si>
    <t>,</t>
  </si>
  <si>
    <t>Resumen</t>
  </si>
  <si>
    <t>Springer</t>
  </si>
  <si>
    <t>Scopus</t>
  </si>
  <si>
    <t>Pubmed</t>
  </si>
  <si>
    <t>Elsevier</t>
  </si>
  <si>
    <t>ACM DL</t>
  </si>
  <si>
    <t>IEEE</t>
  </si>
  <si>
    <t>Snowballing</t>
  </si>
  <si>
    <t>repetido</t>
  </si>
  <si>
    <t>REPETIDO</t>
  </si>
  <si>
    <t>ACM</t>
  </si>
  <si>
    <t>PubMed</t>
  </si>
  <si>
    <t>Springerlink</t>
  </si>
  <si>
    <t>10.1038/s41467-025-58437-7</t>
  </si>
  <si>
    <t>10.1186/s13040-025-00440-1</t>
  </si>
  <si>
    <t>10.1186/s12884-025-07892-7</t>
  </si>
  <si>
    <t>10.1016/j.xagr.2024.100420</t>
  </si>
  <si>
    <t>10.56294/saludcyt20251531</t>
  </si>
  <si>
    <t>10.1016/j.ijmedinf.2024.105645</t>
  </si>
  <si>
    <t>10.1186/s12884-024-06933-x</t>
  </si>
  <si>
    <t>10.1530/EC-24-0169</t>
  </si>
  <si>
    <t>10.1016/j.ajog.2024.02.299</t>
  </si>
  <si>
    <t>10.1093/eurjpc/zwae087</t>
  </si>
  <si>
    <t>10.3760/cma.j.cn113903-20230928-00241</t>
  </si>
  <si>
    <t>10.1016/S2589-7500(23)00267-4</t>
  </si>
  <si>
    <t>10.31083/j.ceog5103060</t>
  </si>
  <si>
    <t>10.2196/48997</t>
  </si>
  <si>
    <t>10.3389/fcvm.2024.1360238</t>
  </si>
  <si>
    <t>10.1186/s12884-023-05486-9</t>
  </si>
  <si>
    <t>10.31083/j.ceog5008172</t>
  </si>
  <si>
    <t>10.18565/aig.2023.101</t>
  </si>
  <si>
    <t>10.3389/fendo.2023.1130139</t>
  </si>
  <si>
    <t>10.11855/j.issn.0577-7402.2022.08.0802</t>
  </si>
  <si>
    <t>10.3760/cma.j.cn115624-20220512-00355</t>
  </si>
  <si>
    <t>10.1016/j.ajog.2022.01.026</t>
  </si>
  <si>
    <t>10.1093/jamia/ocab161</t>
  </si>
  <si>
    <t>10.1016/j.ajog.2020.10.030</t>
  </si>
  <si>
    <t>10.1016/j.ajogmf.2020.100250</t>
  </si>
  <si>
    <t>10.1016/j.ajogmf.2020.100100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</si>
</sst>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u/>
      <sz val="11"/>
      <color theme="10"/>
      <name val="Calibri"/>
      <family val="2"/>
      <scheme val="minor"/>
    </font>
    <font>
      <sz val="11"/>
      <color rgb="FFFF0000"/>
      <name val="Calibri"/>
      <family val="2"/>
      <scheme val="minor"/>
    </font>
    <font>
      <sz val="12"/>
      <color rgb="FF2E2E2E"/>
      <name val="Arial"/>
      <family val="2"/>
    </font>
    <font>
      <sz val="11"/>
      <color rgb="FF2E2E2E"/>
      <name val="Arial"/>
      <family val="2"/>
    </font>
    <font>
      <sz val="11"/>
      <color rgb="FF333333"/>
      <name val="Gill Sans MT"/>
      <family val="2"/>
    </font>
    <font>
      <strike/>
      <sz val="12"/>
      <color rgb="FF2E2E2E"/>
      <name val="Arial"/>
      <family val="2"/>
    </font>
    <font>
      <strike/>
      <sz val="11"/>
      <color theme="1"/>
      <name val="Calibri"/>
      <family val="2"/>
      <scheme val="minor"/>
    </font>
    <font>
      <i/>
      <sz val="14"/>
      <color rgb="FF333333"/>
      <name val="Arial"/>
      <family val="2"/>
    </font>
    <font>
      <sz val="11"/>
      <color rgb="FF4D8055"/>
      <name val="Segoe UI"/>
      <family val="2"/>
    </font>
    <font>
      <b/>
      <sz val="11"/>
      <color rgb="FF00B050"/>
      <name val="Calibri"/>
      <family val="2"/>
      <scheme val="minor"/>
    </font>
    <font>
      <sz val="12"/>
      <color rgb="FFFF0000"/>
      <name val="Arial"/>
      <family val="2"/>
    </font>
    <font>
      <u/>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0" fillId="0" borderId="0" xfId="0" applyAlignment="1">
      <alignment horizontal="left" vertical="center" indent="1"/>
    </xf>
    <xf numFmtId="0" fontId="1" fillId="0" borderId="0" xfId="1"/>
    <xf numFmtId="0" fontId="3" fillId="0" borderId="0" xfId="0" applyFont="1"/>
    <xf numFmtId="0" fontId="1" fillId="0" borderId="0" xfId="1" applyAlignment="1">
      <alignment vertical="center" wrapText="1"/>
    </xf>
    <xf numFmtId="0" fontId="0" fillId="2" borderId="0" xfId="0" applyFill="1"/>
    <xf numFmtId="0" fontId="6" fillId="0" borderId="0" xfId="0" applyFont="1"/>
    <xf numFmtId="0" fontId="7" fillId="0" borderId="0" xfId="0" applyFont="1"/>
    <xf numFmtId="0" fontId="5" fillId="0" borderId="0" xfId="0" applyFont="1"/>
    <xf numFmtId="0" fontId="0" fillId="0" borderId="0" xfId="0" applyAlignment="1">
      <alignment wrapText="1"/>
    </xf>
    <xf numFmtId="0" fontId="2" fillId="0" borderId="0" xfId="0" applyFont="1"/>
    <xf numFmtId="0" fontId="1" fillId="2" borderId="0" xfId="1" applyFill="1"/>
    <xf numFmtId="0" fontId="8" fillId="0" borderId="0" xfId="0" applyFont="1"/>
    <xf numFmtId="0" fontId="9" fillId="0" borderId="0" xfId="0" applyFont="1"/>
    <xf numFmtId="0" fontId="9" fillId="0" borderId="0" xfId="0" applyFont="1" applyAlignment="1">
      <alignment wrapText="1"/>
    </xf>
    <xf numFmtId="0" fontId="1" fillId="0" borderId="0" xfId="1" applyAlignment="1">
      <alignment horizontal="left" vertical="center" wrapText="1" indent="1"/>
    </xf>
    <xf numFmtId="0" fontId="0" fillId="0" borderId="0" xfId="0" applyAlignment="1">
      <alignment vertical="center"/>
    </xf>
    <xf numFmtId="0" fontId="0" fillId="2" borderId="0" xfId="0" applyFill="1" applyAlignment="1">
      <alignment wrapText="1"/>
    </xf>
    <xf numFmtId="0" fontId="10" fillId="0" borderId="0" xfId="0" applyFont="1"/>
    <xf numFmtId="0" fontId="11" fillId="0" borderId="0" xfId="0" applyFont="1"/>
    <xf numFmtId="0" fontId="12" fillId="0" borderId="0" xfId="1" applyFont="1"/>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5512D116-5CC6-11CF-8D67-00AA00BDCE1D}" ax:persistence="persistStreamInit" r:id="rId1"/>
</file>

<file path=xl/activeX/activeX2.xml><?xml version="1.0" encoding="utf-8"?>
<ax:ocx xmlns:ax="http://schemas.microsoft.com/office/2006/activeX" xmlns:r="http://schemas.openxmlformats.org/officeDocument/2006/relationships" ax:classid="{5512D116-5CC6-11CF-8D67-00AA00BDCE1D}" ax:persistence="persistStreamInit" r:id="rId1"/>
</file>

<file path=xl/activeX/activeX3.xml><?xml version="1.0" encoding="utf-8"?>
<ax:ocx xmlns:ax="http://schemas.microsoft.com/office/2006/activeX" xmlns:r="http://schemas.openxmlformats.org/officeDocument/2006/relationships" ax:classid="{5512D116-5CC6-11CF-8D67-00AA00BDCE1D}" ax:persistence="persistStreamInit" r:id="rId1"/>
</file>

<file path=xl/activeX/activeX4.xml><?xml version="1.0" encoding="utf-8"?>
<ax:ocx xmlns:ax="http://schemas.microsoft.com/office/2006/activeX" xmlns:r="http://schemas.openxmlformats.org/officeDocument/2006/relationships" ax:classid="{5512D116-5CC6-11CF-8D67-00AA00BDCE1D}" ax:persistence="persistStreamInit" r:id="rId1"/>
</file>

<file path=xl/activeX/activeX5.xml><?xml version="1.0" encoding="utf-8"?>
<ax:ocx xmlns:ax="http://schemas.microsoft.com/office/2006/activeX" xmlns:r="http://schemas.openxmlformats.org/officeDocument/2006/relationships" ax:classid="{5512D116-5CC6-11CF-8D67-00AA00BDCE1D}" ax:persistence="persistStreamInit" r:id="rId1"/>
</file>

<file path=xl/activeX/activeX6.xml><?xml version="1.0" encoding="utf-8"?>
<ax:ocx xmlns:ax="http://schemas.microsoft.com/office/2006/activeX" xmlns:r="http://schemas.openxmlformats.org/officeDocument/2006/relationships" ax:classid="{5512D116-5CC6-11CF-8D67-00AA00BDCE1D}" ax:persistence="persistStreamInit" r:id="rI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255814</xdr:colOff>
          <xdr:row>3</xdr:row>
          <xdr:rowOff>76200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xdr:row>
          <xdr:rowOff>0</xdr:rowOff>
        </xdr:from>
        <xdr:to>
          <xdr:col>2</xdr:col>
          <xdr:colOff>255814</xdr:colOff>
          <xdr:row>4</xdr:row>
          <xdr:rowOff>76200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xdr:row>
          <xdr:rowOff>0</xdr:rowOff>
        </xdr:from>
        <xdr:to>
          <xdr:col>2</xdr:col>
          <xdr:colOff>255814</xdr:colOff>
          <xdr:row>5</xdr:row>
          <xdr:rowOff>76200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xdr:row>
          <xdr:rowOff>0</xdr:rowOff>
        </xdr:from>
        <xdr:to>
          <xdr:col>2</xdr:col>
          <xdr:colOff>255814</xdr:colOff>
          <xdr:row>6</xdr:row>
          <xdr:rowOff>76200</xdr:rowOff>
        </xdr:to>
        <xdr:sp macro="" textlink="">
          <xdr:nvSpPr>
            <xdr:cNvPr id="1028" name="Control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2</xdr:col>
          <xdr:colOff>255814</xdr:colOff>
          <xdr:row>7</xdr:row>
          <xdr:rowOff>76200</xdr:rowOff>
        </xdr:to>
        <xdr:sp macro="" textlink="">
          <xdr:nvSpPr>
            <xdr:cNvPr id="1029" name="Control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xdr:row>
          <xdr:rowOff>0</xdr:rowOff>
        </xdr:from>
        <xdr:to>
          <xdr:col>2</xdr:col>
          <xdr:colOff>255814</xdr:colOff>
          <xdr:row>11</xdr:row>
          <xdr:rowOff>76200</xdr:rowOff>
        </xdr:to>
        <xdr:sp macro="" textlink="">
          <xdr:nvSpPr>
            <xdr:cNvPr id="1030" name="Control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57150</xdr:colOff>
      <xdr:row>0</xdr:row>
      <xdr:rowOff>9525</xdr:rowOff>
    </xdr:from>
    <xdr:to>
      <xdr:col>4</xdr:col>
      <xdr:colOff>486154</xdr:colOff>
      <xdr:row>7</xdr:row>
      <xdr:rowOff>28846</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3562350" y="9525"/>
          <a:ext cx="2715004" cy="19433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image" Target="../media/image1.emf"/><Relationship Id="rId13" Type="http://schemas.openxmlformats.org/officeDocument/2006/relationships/control" Target="../activeX/activeX6.xml"/><Relationship Id="rId3" Type="http://schemas.openxmlformats.org/officeDocument/2006/relationships/hyperlink" Target="https://doi.org/10.1007/s40137-021-00297-3" TargetMode="External"/><Relationship Id="rId7" Type="http://schemas.openxmlformats.org/officeDocument/2006/relationships/control" Target="../activeX/activeX1.xml"/><Relationship Id="rId12" Type="http://schemas.openxmlformats.org/officeDocument/2006/relationships/control" Target="../activeX/activeX5.xml"/><Relationship Id="rId2" Type="http://schemas.openxmlformats.org/officeDocument/2006/relationships/hyperlink" Target="https://doi.org/10.1007/978-981-97-7451-7_1" TargetMode="External"/><Relationship Id="rId1" Type="http://schemas.openxmlformats.org/officeDocument/2006/relationships/hyperlink" Target="https://doi.org/10.1038/s41467-025-58437-7" TargetMode="External"/><Relationship Id="rId6" Type="http://schemas.openxmlformats.org/officeDocument/2006/relationships/vmlDrawing" Target="../drawings/vmlDrawing1.vml"/><Relationship Id="rId11" Type="http://schemas.openxmlformats.org/officeDocument/2006/relationships/control" Target="../activeX/activeX4.xml"/><Relationship Id="rId5" Type="http://schemas.openxmlformats.org/officeDocument/2006/relationships/drawing" Target="../drawings/drawing1.xml"/><Relationship Id="rId10" Type="http://schemas.openxmlformats.org/officeDocument/2006/relationships/control" Target="../activeX/activeX3.xml"/><Relationship Id="rId4" Type="http://schemas.openxmlformats.org/officeDocument/2006/relationships/printerSettings" Target="../printerSettings/printerSettings1.bin"/><Relationship Id="rId9" Type="http://schemas.openxmlformats.org/officeDocument/2006/relationships/control" Target="../activeX/activeX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oi.org/10.1530/EC-24-0169"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doi.org/10.1016/s2589-7500(23)00267-4" TargetMode="External"/><Relationship Id="rId1" Type="http://schemas.openxmlformats.org/officeDocument/2006/relationships/hyperlink" Target="https://doi.org/10.1016/S2589-7500(23)00267-4"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i.org/10.1016/j.bpobgyn.2024.102525" TargetMode="External"/><Relationship Id="rId2" Type="http://schemas.openxmlformats.org/officeDocument/2006/relationships/hyperlink" Target="https://doi.org/10.1016/j.bpobgyn.2024.102525" TargetMode="External"/><Relationship Id="rId1" Type="http://schemas.openxmlformats.org/officeDocument/2006/relationships/hyperlink" Target="https://doi.org/10.1016/B978-0-12-821848-8.00166-9" TargetMode="Externa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doi.org/10.1145/3472813.347281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oi.org/10.1109/ICSES60034.2023.10465376" TargetMode="External"/><Relationship Id="rId13" Type="http://schemas.openxmlformats.org/officeDocument/2006/relationships/hyperlink" Target="https://doi.org/10.1109/ICOA62581.2024.10753982" TargetMode="External"/><Relationship Id="rId3" Type="http://schemas.openxmlformats.org/officeDocument/2006/relationships/hyperlink" Target="https://doi.org/10.1109/EMBC40787.2023.10340404" TargetMode="External"/><Relationship Id="rId7" Type="http://schemas.openxmlformats.org/officeDocument/2006/relationships/hyperlink" Target="https://doi.org/10.1109/ICSCNA63714.2024.10864251" TargetMode="External"/><Relationship Id="rId12" Type="http://schemas.openxmlformats.org/officeDocument/2006/relationships/hyperlink" Target="https://doi.org/10.1109/ICESIC61777.2024.10846126" TargetMode="External"/><Relationship Id="rId2" Type="http://schemas.openxmlformats.org/officeDocument/2006/relationships/hyperlink" Target="https://doi.org/10.1109/ICITDA60835.2023.10426919" TargetMode="External"/><Relationship Id="rId1" Type="http://schemas.openxmlformats.org/officeDocument/2006/relationships/hyperlink" Target="https://doi.org/10.1109/ESIC64052.2025.10962644" TargetMode="External"/><Relationship Id="rId6" Type="http://schemas.openxmlformats.org/officeDocument/2006/relationships/hyperlink" Target="https://doi.org/10.1109/BIBM49941.2020.9313108" TargetMode="External"/><Relationship Id="rId11" Type="http://schemas.openxmlformats.org/officeDocument/2006/relationships/hyperlink" Target="https://doi.org/10.1109/ICEIB61477.2024.10602647" TargetMode="External"/><Relationship Id="rId5" Type="http://schemas.openxmlformats.org/officeDocument/2006/relationships/hyperlink" Target="https://doi.org/10.1109/EMBC46164.2021.9630136" TargetMode="External"/><Relationship Id="rId10" Type="http://schemas.openxmlformats.org/officeDocument/2006/relationships/hyperlink" Target="https://doi.org/10.1109/ECTIDAMTNCON51128.2021.9425764" TargetMode="External"/><Relationship Id="rId4" Type="http://schemas.openxmlformats.org/officeDocument/2006/relationships/hyperlink" Target="https://doi.org/10.1109/CcS49175.2020.9231400" TargetMode="External"/><Relationship Id="rId9" Type="http://schemas.openxmlformats.org/officeDocument/2006/relationships/hyperlink" Target="https://doi.org/10.1109/ICACCS60874.2024.10716889" TargetMode="External"/><Relationship Id="rId1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95C3C-0719-465B-963D-9548D40F7A07}">
  <dimension ref="A1:J9"/>
  <sheetViews>
    <sheetView tabSelected="1" zoomScale="175" zoomScaleNormal="175" workbookViewId="0">
      <selection activeCell="I11" sqref="I11"/>
    </sheetView>
  </sheetViews>
  <sheetFormatPr defaultRowHeight="14.6" x14ac:dyDescent="0.4"/>
  <cols>
    <col min="2" max="2" width="12.4609375" customWidth="1"/>
  </cols>
  <sheetData>
    <row r="1" spans="1:10" x14ac:dyDescent="0.4">
      <c r="A1" t="s">
        <v>184</v>
      </c>
    </row>
    <row r="2" spans="1:10" x14ac:dyDescent="0.4">
      <c r="B2" s="18" t="s">
        <v>189</v>
      </c>
      <c r="C2" s="18">
        <v>1</v>
      </c>
      <c r="G2" t="s">
        <v>194</v>
      </c>
      <c r="H2">
        <v>1</v>
      </c>
      <c r="J2">
        <f>C2-H2</f>
        <v>0</v>
      </c>
    </row>
    <row r="3" spans="1:10" x14ac:dyDescent="0.4">
      <c r="B3" s="18" t="s">
        <v>188</v>
      </c>
      <c r="C3" s="18">
        <v>30</v>
      </c>
      <c r="G3" t="s">
        <v>188</v>
      </c>
      <c r="H3">
        <v>30</v>
      </c>
      <c r="J3">
        <f t="shared" ref="J3:J8" si="0">C3-H3</f>
        <v>0</v>
      </c>
    </row>
    <row r="4" spans="1:10" x14ac:dyDescent="0.4">
      <c r="B4" s="18" t="s">
        <v>190</v>
      </c>
      <c r="C4" s="18">
        <v>15</v>
      </c>
      <c r="G4" t="s">
        <v>190</v>
      </c>
      <c r="H4">
        <v>15</v>
      </c>
      <c r="J4">
        <f t="shared" si="0"/>
        <v>0</v>
      </c>
    </row>
    <row r="5" spans="1:10" x14ac:dyDescent="0.4">
      <c r="B5" s="18" t="s">
        <v>187</v>
      </c>
      <c r="C5" s="18">
        <v>29</v>
      </c>
      <c r="G5" t="s">
        <v>195</v>
      </c>
      <c r="H5">
        <v>29</v>
      </c>
      <c r="J5">
        <f t="shared" si="0"/>
        <v>0</v>
      </c>
    </row>
    <row r="6" spans="1:10" x14ac:dyDescent="0.4">
      <c r="B6" s="21" t="s">
        <v>186</v>
      </c>
      <c r="C6" s="21">
        <v>27</v>
      </c>
      <c r="G6" t="s">
        <v>186</v>
      </c>
      <c r="H6">
        <v>27</v>
      </c>
      <c r="J6">
        <f t="shared" si="0"/>
        <v>0</v>
      </c>
    </row>
    <row r="7" spans="1:10" x14ac:dyDescent="0.4">
      <c r="B7" s="18" t="s">
        <v>191</v>
      </c>
      <c r="C7" s="18">
        <v>24</v>
      </c>
      <c r="G7" t="s">
        <v>191</v>
      </c>
      <c r="H7">
        <v>24</v>
      </c>
      <c r="J7">
        <f t="shared" si="0"/>
        <v>0</v>
      </c>
    </row>
    <row r="8" spans="1:10" x14ac:dyDescent="0.4">
      <c r="B8" s="18" t="s">
        <v>185</v>
      </c>
      <c r="C8" s="18">
        <v>45</v>
      </c>
      <c r="G8" t="s">
        <v>196</v>
      </c>
      <c r="H8">
        <v>45</v>
      </c>
      <c r="J8">
        <f t="shared" si="0"/>
        <v>0</v>
      </c>
    </row>
    <row r="9" spans="1:10" x14ac:dyDescent="0.4">
      <c r="C9">
        <f>SUM(C2:C8)</f>
        <v>171</v>
      </c>
      <c r="H9">
        <f>SUM(H2:H8)</f>
        <v>171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C59"/>
  <sheetViews>
    <sheetView topLeftCell="A43" zoomScale="160" zoomScaleNormal="160" workbookViewId="0">
      <selection activeCell="A15" sqref="A15:A59"/>
    </sheetView>
  </sheetViews>
  <sheetFormatPr defaultColWidth="9.15234375" defaultRowHeight="14.6" x14ac:dyDescent="0.4"/>
  <cols>
    <col min="1" max="1" width="44.84375" customWidth="1"/>
  </cols>
  <sheetData>
    <row r="1" spans="1:3" x14ac:dyDescent="0.4">
      <c r="A1" t="s">
        <v>0</v>
      </c>
      <c r="C1" t="s">
        <v>1</v>
      </c>
    </row>
    <row r="2" spans="1:3" x14ac:dyDescent="0.4">
      <c r="C2" s="1"/>
    </row>
    <row r="3" spans="1:3" x14ac:dyDescent="0.4">
      <c r="C3" s="1" t="s">
        <v>2</v>
      </c>
    </row>
    <row r="4" spans="1:3" x14ac:dyDescent="0.4">
      <c r="C4" s="1" t="s">
        <v>3</v>
      </c>
    </row>
    <row r="5" spans="1:3" x14ac:dyDescent="0.4">
      <c r="C5" s="1" t="s">
        <v>4</v>
      </c>
    </row>
    <row r="6" spans="1:3" x14ac:dyDescent="0.4">
      <c r="C6" s="1" t="s">
        <v>5</v>
      </c>
    </row>
    <row r="7" spans="1:3" x14ac:dyDescent="0.4">
      <c r="C7" s="1" t="s">
        <v>6</v>
      </c>
    </row>
    <row r="9" spans="1:3" x14ac:dyDescent="0.4">
      <c r="C9" t="s">
        <v>7</v>
      </c>
    </row>
    <row r="10" spans="1:3" x14ac:dyDescent="0.4">
      <c r="C10" s="1"/>
    </row>
    <row r="11" spans="1:3" x14ac:dyDescent="0.4">
      <c r="C11" s="1" t="s">
        <v>8</v>
      </c>
    </row>
    <row r="15" spans="1:3" x14ac:dyDescent="0.4">
      <c r="A15" s="2" t="s">
        <v>9</v>
      </c>
    </row>
    <row r="16" spans="1:3" x14ac:dyDescent="0.4">
      <c r="A16" t="s">
        <v>10</v>
      </c>
    </row>
    <row r="17" spans="1:1" x14ac:dyDescent="0.4">
      <c r="A17" t="s">
        <v>11</v>
      </c>
    </row>
    <row r="18" spans="1:1" x14ac:dyDescent="0.4">
      <c r="A18" t="s">
        <v>12</v>
      </c>
    </row>
    <row r="19" spans="1:1" x14ac:dyDescent="0.4">
      <c r="A19" t="s">
        <v>13</v>
      </c>
    </row>
    <row r="20" spans="1:1" x14ac:dyDescent="0.4">
      <c r="A20" t="s">
        <v>14</v>
      </c>
    </row>
    <row r="21" spans="1:1" x14ac:dyDescent="0.4">
      <c r="A21" t="s">
        <v>15</v>
      </c>
    </row>
    <row r="22" spans="1:1" x14ac:dyDescent="0.4">
      <c r="A22" t="s">
        <v>16</v>
      </c>
    </row>
    <row r="23" spans="1:1" x14ac:dyDescent="0.4">
      <c r="A23" t="s">
        <v>17</v>
      </c>
    </row>
    <row r="24" spans="1:1" x14ac:dyDescent="0.4">
      <c r="A24" t="s">
        <v>18</v>
      </c>
    </row>
    <row r="25" spans="1:1" x14ac:dyDescent="0.4">
      <c r="A25" t="s">
        <v>19</v>
      </c>
    </row>
    <row r="26" spans="1:1" x14ac:dyDescent="0.4">
      <c r="A26" t="s">
        <v>20</v>
      </c>
    </row>
    <row r="27" spans="1:1" x14ac:dyDescent="0.4">
      <c r="A27" t="s">
        <v>21</v>
      </c>
    </row>
    <row r="28" spans="1:1" x14ac:dyDescent="0.4">
      <c r="A28" t="s">
        <v>22</v>
      </c>
    </row>
    <row r="29" spans="1:1" x14ac:dyDescent="0.4">
      <c r="A29" t="s">
        <v>23</v>
      </c>
    </row>
    <row r="30" spans="1:1" x14ac:dyDescent="0.4">
      <c r="A30" s="2" t="s">
        <v>24</v>
      </c>
    </row>
    <row r="31" spans="1:1" x14ac:dyDescent="0.4">
      <c r="A31" t="s">
        <v>25</v>
      </c>
    </row>
    <row r="32" spans="1:1" x14ac:dyDescent="0.4">
      <c r="A32" t="s">
        <v>26</v>
      </c>
    </row>
    <row r="33" spans="1:1" x14ac:dyDescent="0.4">
      <c r="A33" t="s">
        <v>27</v>
      </c>
    </row>
    <row r="34" spans="1:1" x14ac:dyDescent="0.4">
      <c r="A34" t="s">
        <v>28</v>
      </c>
    </row>
    <row r="35" spans="1:1" x14ac:dyDescent="0.4">
      <c r="A35" t="s">
        <v>29</v>
      </c>
    </row>
    <row r="36" spans="1:1" x14ac:dyDescent="0.4">
      <c r="A36" t="s">
        <v>30</v>
      </c>
    </row>
    <row r="37" spans="1:1" x14ac:dyDescent="0.4">
      <c r="A37" t="s">
        <v>31</v>
      </c>
    </row>
    <row r="38" spans="1:1" x14ac:dyDescent="0.4">
      <c r="A38" t="s">
        <v>32</v>
      </c>
    </row>
    <row r="39" spans="1:1" x14ac:dyDescent="0.4">
      <c r="A39" t="s">
        <v>33</v>
      </c>
    </row>
    <row r="40" spans="1:1" x14ac:dyDescent="0.4">
      <c r="A40" t="s">
        <v>34</v>
      </c>
    </row>
    <row r="41" spans="1:1" x14ac:dyDescent="0.4">
      <c r="A41" t="s">
        <v>35</v>
      </c>
    </row>
    <row r="42" spans="1:1" x14ac:dyDescent="0.4">
      <c r="A42" s="2" t="s">
        <v>36</v>
      </c>
    </row>
    <row r="43" spans="1:1" x14ac:dyDescent="0.4">
      <c r="A43" t="s">
        <v>37</v>
      </c>
    </row>
    <row r="44" spans="1:1" x14ac:dyDescent="0.4">
      <c r="A44" t="s">
        <v>38</v>
      </c>
    </row>
    <row r="45" spans="1:1" x14ac:dyDescent="0.4">
      <c r="A45" t="s">
        <v>39</v>
      </c>
    </row>
    <row r="46" spans="1:1" x14ac:dyDescent="0.4">
      <c r="A46" t="s">
        <v>40</v>
      </c>
    </row>
    <row r="47" spans="1:1" x14ac:dyDescent="0.4">
      <c r="A47" t="s">
        <v>41</v>
      </c>
    </row>
    <row r="48" spans="1:1" x14ac:dyDescent="0.4">
      <c r="A48" t="s">
        <v>42</v>
      </c>
    </row>
    <row r="49" spans="1:1" x14ac:dyDescent="0.4">
      <c r="A49" t="s">
        <v>43</v>
      </c>
    </row>
    <row r="50" spans="1:1" x14ac:dyDescent="0.4">
      <c r="A50" t="s">
        <v>44</v>
      </c>
    </row>
    <row r="51" spans="1:1" x14ac:dyDescent="0.4">
      <c r="A51" t="s">
        <v>45</v>
      </c>
    </row>
    <row r="52" spans="1:1" x14ac:dyDescent="0.4">
      <c r="A52" t="s">
        <v>46</v>
      </c>
    </row>
    <row r="53" spans="1:1" x14ac:dyDescent="0.4">
      <c r="A53" t="s">
        <v>47</v>
      </c>
    </row>
    <row r="54" spans="1:1" x14ac:dyDescent="0.4">
      <c r="A54" t="s">
        <v>48</v>
      </c>
    </row>
    <row r="55" spans="1:1" x14ac:dyDescent="0.4">
      <c r="A55" t="s">
        <v>49</v>
      </c>
    </row>
    <row r="56" spans="1:1" x14ac:dyDescent="0.4">
      <c r="A56" t="s">
        <v>50</v>
      </c>
    </row>
    <row r="57" spans="1:1" x14ac:dyDescent="0.4">
      <c r="A57" t="s">
        <v>51</v>
      </c>
    </row>
    <row r="58" spans="1:1" x14ac:dyDescent="0.4">
      <c r="A58" t="s">
        <v>52</v>
      </c>
    </row>
    <row r="59" spans="1:1" x14ac:dyDescent="0.4">
      <c r="A59" t="s">
        <v>53</v>
      </c>
    </row>
  </sheetData>
  <hyperlinks>
    <hyperlink ref="A15" r:id="rId1" xr:uid="{00000000-0004-0000-0000-000000000000}"/>
    <hyperlink ref="A30" r:id="rId2" xr:uid="{9770D6EE-2206-4D07-852B-5794F864AAE0}"/>
    <hyperlink ref="A42" r:id="rId3" xr:uid="{885DCE87-4517-410C-BE6A-F031C9C1DCDC}"/>
  </hyperlinks>
  <pageMargins left="0.7" right="0.7" top="0.75" bottom="0.75" header="0.3" footer="0.3"/>
  <pageSetup orientation="portrait" horizontalDpi="0" verticalDpi="0" r:id="rId4"/>
  <drawing r:id="rId5"/>
  <legacyDrawing r:id="rId6"/>
  <controls>
    <mc:AlternateContent xmlns:mc="http://schemas.openxmlformats.org/markup-compatibility/2006">
      <mc:Choice Requires="x14">
        <control shapeId="1025" r:id="rId7" name="Control 1">
          <controlPr defaultSize="0" r:id="rId8">
            <anchor moveWithCells="1">
              <from>
                <xdr:col>2</xdr:col>
                <xdr:colOff>0</xdr:colOff>
                <xdr:row>2</xdr:row>
                <xdr:rowOff>0</xdr:rowOff>
              </from>
              <to>
                <xdr:col>2</xdr:col>
                <xdr:colOff>255814</xdr:colOff>
                <xdr:row>3</xdr:row>
                <xdr:rowOff>76200</xdr:rowOff>
              </to>
            </anchor>
          </controlPr>
        </control>
      </mc:Choice>
      <mc:Fallback>
        <control shapeId="1025" r:id="rId7" name="Control 1"/>
      </mc:Fallback>
    </mc:AlternateContent>
    <mc:AlternateContent xmlns:mc="http://schemas.openxmlformats.org/markup-compatibility/2006">
      <mc:Choice Requires="x14">
        <control shapeId="1026" r:id="rId9" name="Control 2">
          <controlPr defaultSize="0" r:id="rId8">
            <anchor moveWithCells="1">
              <from>
                <xdr:col>2</xdr:col>
                <xdr:colOff>0</xdr:colOff>
                <xdr:row>3</xdr:row>
                <xdr:rowOff>0</xdr:rowOff>
              </from>
              <to>
                <xdr:col>2</xdr:col>
                <xdr:colOff>255814</xdr:colOff>
                <xdr:row>4</xdr:row>
                <xdr:rowOff>76200</xdr:rowOff>
              </to>
            </anchor>
          </controlPr>
        </control>
      </mc:Choice>
      <mc:Fallback>
        <control shapeId="1026" r:id="rId9" name="Control 2"/>
      </mc:Fallback>
    </mc:AlternateContent>
    <mc:AlternateContent xmlns:mc="http://schemas.openxmlformats.org/markup-compatibility/2006">
      <mc:Choice Requires="x14">
        <control shapeId="1027" r:id="rId10" name="Control 3">
          <controlPr defaultSize="0" r:id="rId8">
            <anchor moveWithCells="1">
              <from>
                <xdr:col>2</xdr:col>
                <xdr:colOff>0</xdr:colOff>
                <xdr:row>4</xdr:row>
                <xdr:rowOff>0</xdr:rowOff>
              </from>
              <to>
                <xdr:col>2</xdr:col>
                <xdr:colOff>255814</xdr:colOff>
                <xdr:row>5</xdr:row>
                <xdr:rowOff>76200</xdr:rowOff>
              </to>
            </anchor>
          </controlPr>
        </control>
      </mc:Choice>
      <mc:Fallback>
        <control shapeId="1027" r:id="rId10" name="Control 3"/>
      </mc:Fallback>
    </mc:AlternateContent>
    <mc:AlternateContent xmlns:mc="http://schemas.openxmlformats.org/markup-compatibility/2006">
      <mc:Choice Requires="x14">
        <control shapeId="1028" r:id="rId11" name="Control 4">
          <controlPr defaultSize="0" r:id="rId8">
            <anchor moveWithCells="1">
              <from>
                <xdr:col>2</xdr:col>
                <xdr:colOff>0</xdr:colOff>
                <xdr:row>5</xdr:row>
                <xdr:rowOff>0</xdr:rowOff>
              </from>
              <to>
                <xdr:col>2</xdr:col>
                <xdr:colOff>255814</xdr:colOff>
                <xdr:row>6</xdr:row>
                <xdr:rowOff>76200</xdr:rowOff>
              </to>
            </anchor>
          </controlPr>
        </control>
      </mc:Choice>
      <mc:Fallback>
        <control shapeId="1028" r:id="rId11" name="Control 4"/>
      </mc:Fallback>
    </mc:AlternateContent>
    <mc:AlternateContent xmlns:mc="http://schemas.openxmlformats.org/markup-compatibility/2006">
      <mc:Choice Requires="x14">
        <control shapeId="1029" r:id="rId12" name="Control 5">
          <controlPr defaultSize="0" r:id="rId8">
            <anchor moveWithCells="1">
              <from>
                <xdr:col>2</xdr:col>
                <xdr:colOff>0</xdr:colOff>
                <xdr:row>6</xdr:row>
                <xdr:rowOff>0</xdr:rowOff>
              </from>
              <to>
                <xdr:col>2</xdr:col>
                <xdr:colOff>255814</xdr:colOff>
                <xdr:row>7</xdr:row>
                <xdr:rowOff>76200</xdr:rowOff>
              </to>
            </anchor>
          </controlPr>
        </control>
      </mc:Choice>
      <mc:Fallback>
        <control shapeId="1029" r:id="rId12" name="Control 5"/>
      </mc:Fallback>
    </mc:AlternateContent>
    <mc:AlternateContent xmlns:mc="http://schemas.openxmlformats.org/markup-compatibility/2006">
      <mc:Choice Requires="x14">
        <control shapeId="1030" r:id="rId13" name="Control 6">
          <controlPr defaultSize="0" r:id="rId8">
            <anchor moveWithCells="1">
              <from>
                <xdr:col>2</xdr:col>
                <xdr:colOff>0</xdr:colOff>
                <xdr:row>10</xdr:row>
                <xdr:rowOff>0</xdr:rowOff>
              </from>
              <to>
                <xdr:col>2</xdr:col>
                <xdr:colOff>255814</xdr:colOff>
                <xdr:row>11</xdr:row>
                <xdr:rowOff>76200</xdr:rowOff>
              </to>
            </anchor>
          </controlPr>
        </control>
      </mc:Choice>
      <mc:Fallback>
        <control shapeId="1030" r:id="rId13" name="Control 6"/>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64"/>
  <sheetViews>
    <sheetView topLeftCell="A26" workbookViewId="0">
      <selection activeCell="B58" sqref="B58:B59"/>
    </sheetView>
  </sheetViews>
  <sheetFormatPr defaultColWidth="11.07421875" defaultRowHeight="14.6" x14ac:dyDescent="0.4"/>
  <cols>
    <col min="1" max="1" width="8.3046875" customWidth="1"/>
    <col min="2" max="2" width="55.3828125" customWidth="1"/>
    <col min="5" max="5" width="37.53515625" customWidth="1"/>
  </cols>
  <sheetData>
    <row r="1" spans="1:28" ht="15.45" x14ac:dyDescent="0.4">
      <c r="A1">
        <v>1</v>
      </c>
      <c r="B1" t="s">
        <v>54</v>
      </c>
      <c r="C1" s="3"/>
    </row>
    <row r="2" spans="1:28" ht="339" customHeight="1" x14ac:dyDescent="0.4">
      <c r="A2">
        <v>2</v>
      </c>
      <c r="B2" t="s">
        <v>55</v>
      </c>
      <c r="C2" s="3"/>
      <c r="E2" s="9" t="s">
        <v>82</v>
      </c>
      <c r="O2" s="3"/>
    </row>
    <row r="3" spans="1:28" ht="15.45" x14ac:dyDescent="0.4">
      <c r="A3">
        <v>3</v>
      </c>
      <c r="B3" t="s">
        <v>56</v>
      </c>
      <c r="C3" s="3"/>
      <c r="E3" s="10" t="s">
        <v>83</v>
      </c>
      <c r="O3" s="3"/>
    </row>
    <row r="4" spans="1:28" ht="15.45" x14ac:dyDescent="0.4">
      <c r="A4">
        <v>4</v>
      </c>
      <c r="B4" t="s">
        <v>57</v>
      </c>
      <c r="C4" s="3"/>
      <c r="G4" s="3"/>
      <c r="O4" s="3"/>
    </row>
    <row r="5" spans="1:28" s="5" customFormat="1" ht="15.45" x14ac:dyDescent="0.4">
      <c r="A5">
        <v>5</v>
      </c>
      <c r="B5" t="s">
        <v>58</v>
      </c>
      <c r="C5" s="3"/>
      <c r="D5"/>
      <c r="E5" t="s">
        <v>81</v>
      </c>
      <c r="F5"/>
      <c r="G5" s="3"/>
      <c r="H5"/>
      <c r="I5"/>
      <c r="J5"/>
      <c r="K5"/>
      <c r="L5"/>
      <c r="M5"/>
      <c r="N5"/>
      <c r="O5" s="3"/>
      <c r="P5"/>
      <c r="Q5"/>
      <c r="R5"/>
      <c r="S5"/>
      <c r="T5"/>
      <c r="U5"/>
      <c r="V5"/>
      <c r="W5"/>
      <c r="X5"/>
      <c r="Y5"/>
      <c r="Z5"/>
      <c r="AA5"/>
      <c r="AB5"/>
    </row>
    <row r="6" spans="1:28" ht="15.45" x14ac:dyDescent="0.4">
      <c r="A6">
        <v>6</v>
      </c>
      <c r="B6" s="3" t="s">
        <v>59</v>
      </c>
      <c r="C6" s="6"/>
      <c r="D6" s="7"/>
      <c r="E6" s="7"/>
      <c r="F6" s="7"/>
    </row>
    <row r="7" spans="1:28" ht="15.45" x14ac:dyDescent="0.4">
      <c r="A7">
        <v>7</v>
      </c>
      <c r="B7" s="3" t="s">
        <v>60</v>
      </c>
      <c r="C7" s="6"/>
      <c r="D7" s="7"/>
      <c r="E7" s="7"/>
      <c r="F7" s="7"/>
    </row>
    <row r="8" spans="1:28" ht="15.45" x14ac:dyDescent="0.4">
      <c r="A8">
        <v>8</v>
      </c>
      <c r="B8" s="3" t="s">
        <v>64</v>
      </c>
      <c r="C8" s="6"/>
      <c r="D8" s="7"/>
      <c r="E8" s="7"/>
      <c r="F8" s="7"/>
    </row>
    <row r="9" spans="1:28" x14ac:dyDescent="0.4">
      <c r="A9">
        <v>9</v>
      </c>
      <c r="B9" s="4" t="s">
        <v>65</v>
      </c>
    </row>
    <row r="10" spans="1:28" ht="15.45" x14ac:dyDescent="0.4">
      <c r="A10">
        <v>10</v>
      </c>
      <c r="B10" s="3" t="s">
        <v>66</v>
      </c>
    </row>
    <row r="11" spans="1:28" ht="16.3" x14ac:dyDescent="0.5">
      <c r="A11">
        <v>11</v>
      </c>
      <c r="B11" s="3" t="s">
        <v>67</v>
      </c>
      <c r="D11" s="3"/>
      <c r="E11" s="8"/>
    </row>
    <row r="12" spans="1:28" ht="15.45" x14ac:dyDescent="0.4">
      <c r="A12">
        <v>12</v>
      </c>
      <c r="B12" s="3" t="s">
        <v>68</v>
      </c>
    </row>
    <row r="13" spans="1:28" ht="15.45" x14ac:dyDescent="0.4">
      <c r="A13">
        <v>13</v>
      </c>
      <c r="B13" s="3" t="s">
        <v>69</v>
      </c>
      <c r="D13" s="3"/>
    </row>
    <row r="14" spans="1:28" ht="15.45" x14ac:dyDescent="0.4">
      <c r="A14">
        <v>14</v>
      </c>
      <c r="B14" s="3" t="s">
        <v>70</v>
      </c>
      <c r="C14" s="3"/>
    </row>
    <row r="15" spans="1:28" ht="15.45" x14ac:dyDescent="0.4">
      <c r="A15">
        <v>15</v>
      </c>
      <c r="B15" s="3" t="s">
        <v>72</v>
      </c>
    </row>
    <row r="16" spans="1:28" ht="15.45" x14ac:dyDescent="0.4">
      <c r="A16">
        <v>16</v>
      </c>
      <c r="B16" s="3" t="s">
        <v>71</v>
      </c>
      <c r="C16" s="3"/>
    </row>
    <row r="17" spans="1:16" ht="15.45" x14ac:dyDescent="0.4">
      <c r="A17">
        <v>17</v>
      </c>
      <c r="B17" s="3" t="s">
        <v>61</v>
      </c>
      <c r="E17" s="3"/>
      <c r="P17" s="3"/>
    </row>
    <row r="18" spans="1:16" ht="15.45" x14ac:dyDescent="0.4">
      <c r="A18">
        <v>18</v>
      </c>
      <c r="B18" s="3" t="s">
        <v>73</v>
      </c>
    </row>
    <row r="19" spans="1:16" ht="15.45" x14ac:dyDescent="0.4">
      <c r="A19">
        <v>19</v>
      </c>
      <c r="B19" s="3" t="s">
        <v>74</v>
      </c>
      <c r="F19" s="3"/>
    </row>
    <row r="20" spans="1:16" ht="15.45" x14ac:dyDescent="0.4">
      <c r="A20">
        <v>20</v>
      </c>
      <c r="B20" s="3" t="s">
        <v>75</v>
      </c>
    </row>
    <row r="21" spans="1:16" ht="15.45" x14ac:dyDescent="0.4">
      <c r="A21">
        <v>21</v>
      </c>
      <c r="B21" s="3" t="s">
        <v>76</v>
      </c>
      <c r="F21" s="3"/>
    </row>
    <row r="22" spans="1:16" ht="16.5" customHeight="1" x14ac:dyDescent="0.4">
      <c r="A22">
        <v>22</v>
      </c>
      <c r="B22" s="3" t="s">
        <v>78</v>
      </c>
      <c r="E22" s="3"/>
    </row>
    <row r="23" spans="1:16" ht="15.45" x14ac:dyDescent="0.4">
      <c r="A23">
        <v>23</v>
      </c>
      <c r="B23" s="3" t="s">
        <v>77</v>
      </c>
      <c r="C23" s="3"/>
    </row>
    <row r="24" spans="1:16" ht="15.45" x14ac:dyDescent="0.4">
      <c r="A24">
        <v>24</v>
      </c>
      <c r="B24" s="3" t="s">
        <v>62</v>
      </c>
    </row>
    <row r="25" spans="1:16" ht="15.45" x14ac:dyDescent="0.4">
      <c r="A25" s="10">
        <v>25</v>
      </c>
      <c r="B25" s="19" t="s">
        <v>62</v>
      </c>
      <c r="C25" t="s">
        <v>192</v>
      </c>
    </row>
    <row r="26" spans="1:16" ht="15.45" x14ac:dyDescent="0.4">
      <c r="A26">
        <v>26</v>
      </c>
      <c r="B26" s="3" t="s">
        <v>63</v>
      </c>
    </row>
    <row r="27" spans="1:16" ht="15.45" x14ac:dyDescent="0.4">
      <c r="A27">
        <v>27</v>
      </c>
      <c r="B27" s="3" t="s">
        <v>79</v>
      </c>
    </row>
    <row r="28" spans="1:16" ht="15.45" x14ac:dyDescent="0.4">
      <c r="A28">
        <v>28</v>
      </c>
      <c r="B28" s="3" t="s">
        <v>80</v>
      </c>
    </row>
    <row r="39" spans="2:5" x14ac:dyDescent="0.4">
      <c r="B39" s="10" t="s">
        <v>197</v>
      </c>
      <c r="E39" s="10" t="s">
        <v>201</v>
      </c>
    </row>
    <row r="40" spans="2:5" x14ac:dyDescent="0.4">
      <c r="B40" s="10" t="s">
        <v>198</v>
      </c>
      <c r="E40" s="10" t="s">
        <v>200</v>
      </c>
    </row>
    <row r="41" spans="2:5" x14ac:dyDescent="0.4">
      <c r="B41" s="10" t="s">
        <v>199</v>
      </c>
      <c r="E41" s="10" t="s">
        <v>204</v>
      </c>
    </row>
    <row r="42" spans="2:5" x14ac:dyDescent="0.4">
      <c r="B42" s="10" t="s">
        <v>200</v>
      </c>
      <c r="E42" s="10" t="s">
        <v>215</v>
      </c>
    </row>
    <row r="43" spans="2:5" x14ac:dyDescent="0.4">
      <c r="B43" s="10" t="s">
        <v>201</v>
      </c>
      <c r="E43" s="10" t="s">
        <v>219</v>
      </c>
    </row>
    <row r="44" spans="2:5" x14ac:dyDescent="0.4">
      <c r="B44" s="10" t="s">
        <v>202</v>
      </c>
      <c r="E44" s="10" t="s">
        <v>206</v>
      </c>
    </row>
    <row r="45" spans="2:5" x14ac:dyDescent="0.4">
      <c r="B45" s="10" t="s">
        <v>203</v>
      </c>
      <c r="E45" s="10" t="s">
        <v>222</v>
      </c>
    </row>
    <row r="46" spans="2:5" x14ac:dyDescent="0.4">
      <c r="B46" s="10" t="s">
        <v>204</v>
      </c>
      <c r="E46" s="10" t="s">
        <v>199</v>
      </c>
    </row>
    <row r="47" spans="2:5" x14ac:dyDescent="0.4">
      <c r="B47" s="10" t="s">
        <v>205</v>
      </c>
      <c r="E47" s="10" t="s">
        <v>221</v>
      </c>
    </row>
    <row r="48" spans="2:5" x14ac:dyDescent="0.4">
      <c r="B48" s="10" t="s">
        <v>206</v>
      </c>
      <c r="E48" s="10" t="s">
        <v>218</v>
      </c>
    </row>
    <row r="49" spans="2:5" x14ac:dyDescent="0.4">
      <c r="B49" t="s">
        <v>207</v>
      </c>
      <c r="E49" s="10" t="s">
        <v>208</v>
      </c>
    </row>
    <row r="50" spans="2:5" x14ac:dyDescent="0.4">
      <c r="B50" s="10" t="s">
        <v>208</v>
      </c>
      <c r="E50" s="10" t="s">
        <v>202</v>
      </c>
    </row>
    <row r="51" spans="2:5" x14ac:dyDescent="0.4">
      <c r="B51" s="10" t="s">
        <v>209</v>
      </c>
      <c r="E51" s="10" t="s">
        <v>210</v>
      </c>
    </row>
    <row r="52" spans="2:5" x14ac:dyDescent="0.4">
      <c r="B52" s="10" t="s">
        <v>210</v>
      </c>
      <c r="E52" s="10" t="s">
        <v>203</v>
      </c>
    </row>
    <row r="53" spans="2:5" x14ac:dyDescent="0.4">
      <c r="B53" s="10" t="s">
        <v>211</v>
      </c>
      <c r="E53" s="10" t="s">
        <v>220</v>
      </c>
    </row>
    <row r="54" spans="2:5" x14ac:dyDescent="0.4">
      <c r="B54" s="10" t="s">
        <v>212</v>
      </c>
      <c r="E54" s="10" t="s">
        <v>211</v>
      </c>
    </row>
    <row r="55" spans="2:5" x14ac:dyDescent="0.4">
      <c r="B55" t="s">
        <v>213</v>
      </c>
      <c r="E55" s="10" t="s">
        <v>198</v>
      </c>
    </row>
    <row r="56" spans="2:5" x14ac:dyDescent="0.4">
      <c r="B56" s="10" t="s">
        <v>214</v>
      </c>
      <c r="E56" s="10" t="s">
        <v>214</v>
      </c>
    </row>
    <row r="57" spans="2:5" x14ac:dyDescent="0.4">
      <c r="B57" s="10" t="s">
        <v>215</v>
      </c>
      <c r="E57" s="10" t="s">
        <v>197</v>
      </c>
    </row>
    <row r="58" spans="2:5" x14ac:dyDescent="0.4">
      <c r="B58" t="s">
        <v>216</v>
      </c>
      <c r="E58" s="10" t="s">
        <v>209</v>
      </c>
    </row>
    <row r="59" spans="2:5" x14ac:dyDescent="0.4">
      <c r="B59" t="s">
        <v>217</v>
      </c>
      <c r="E59" s="10" t="s">
        <v>205</v>
      </c>
    </row>
    <row r="60" spans="2:5" x14ac:dyDescent="0.4">
      <c r="B60" s="10" t="s">
        <v>218</v>
      </c>
      <c r="E60" s="10" t="s">
        <v>212</v>
      </c>
    </row>
    <row r="61" spans="2:5" x14ac:dyDescent="0.4">
      <c r="B61" s="10" t="s">
        <v>219</v>
      </c>
      <c r="E61" s="10"/>
    </row>
    <row r="62" spans="2:5" x14ac:dyDescent="0.4">
      <c r="B62" s="10" t="s">
        <v>220</v>
      </c>
    </row>
    <row r="63" spans="2:5" x14ac:dyDescent="0.4">
      <c r="B63" s="10" t="s">
        <v>221</v>
      </c>
    </row>
    <row r="64" spans="2:5" x14ac:dyDescent="0.4">
      <c r="B64" s="10" t="s">
        <v>222</v>
      </c>
    </row>
  </sheetData>
  <hyperlinks>
    <hyperlink ref="B9" r:id="rId1" xr:uid="{00000000-0004-0000-0100-000000000000}"/>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7"/>
  <sheetViews>
    <sheetView topLeftCell="A9" workbookViewId="0">
      <selection activeCell="A19" sqref="A19:A47"/>
    </sheetView>
  </sheetViews>
  <sheetFormatPr defaultColWidth="11.07421875" defaultRowHeight="14.6" x14ac:dyDescent="0.4"/>
  <cols>
    <col min="1" max="1" width="52.53515625" customWidth="1"/>
  </cols>
  <sheetData>
    <row r="1" spans="1:4" ht="17.149999999999999" x14ac:dyDescent="0.55000000000000004">
      <c r="A1" s="13" t="s">
        <v>104</v>
      </c>
    </row>
    <row r="2" spans="1:4" ht="52.5" customHeight="1" x14ac:dyDescent="0.55000000000000004">
      <c r="A2" s="14" t="s">
        <v>105</v>
      </c>
    </row>
    <row r="3" spans="1:4" ht="17.149999999999999" x14ac:dyDescent="0.55000000000000004">
      <c r="A3" s="13" t="s">
        <v>106</v>
      </c>
    </row>
    <row r="4" spans="1:4" ht="17.149999999999999" x14ac:dyDescent="0.55000000000000004">
      <c r="A4" s="13" t="s">
        <v>107</v>
      </c>
    </row>
    <row r="5" spans="1:4" ht="17.149999999999999" x14ac:dyDescent="0.55000000000000004">
      <c r="A5" s="13" t="s">
        <v>108</v>
      </c>
    </row>
    <row r="6" spans="1:4" ht="17.149999999999999" x14ac:dyDescent="0.55000000000000004">
      <c r="A6" s="13" t="s">
        <v>109</v>
      </c>
    </row>
    <row r="7" spans="1:4" ht="17.149999999999999" x14ac:dyDescent="0.55000000000000004">
      <c r="A7" s="13" t="s">
        <v>110</v>
      </c>
    </row>
    <row r="8" spans="1:4" ht="17.149999999999999" x14ac:dyDescent="0.55000000000000004">
      <c r="A8" s="13" t="s">
        <v>111</v>
      </c>
    </row>
    <row r="9" spans="1:4" ht="17.149999999999999" x14ac:dyDescent="0.55000000000000004">
      <c r="A9" s="13" t="s">
        <v>112</v>
      </c>
      <c r="D9" t="s">
        <v>115</v>
      </c>
    </row>
    <row r="10" spans="1:4" ht="17.149999999999999" x14ac:dyDescent="0.55000000000000004">
      <c r="A10" s="13" t="s">
        <v>113</v>
      </c>
    </row>
    <row r="11" spans="1:4" ht="17.149999999999999" x14ac:dyDescent="0.55000000000000004">
      <c r="A11" s="13" t="s">
        <v>114</v>
      </c>
    </row>
    <row r="12" spans="1:4" x14ac:dyDescent="0.4">
      <c r="A12" s="2" t="s">
        <v>116</v>
      </c>
    </row>
    <row r="13" spans="1:4" x14ac:dyDescent="0.4">
      <c r="A13" s="15" t="s">
        <v>69</v>
      </c>
    </row>
    <row r="16" spans="1:4" x14ac:dyDescent="0.4">
      <c r="A16" t="s">
        <v>152</v>
      </c>
    </row>
    <row r="17" spans="1:1" ht="72.900000000000006" x14ac:dyDescent="0.4">
      <c r="A17" s="17" t="s">
        <v>153</v>
      </c>
    </row>
    <row r="19" spans="1:1" x14ac:dyDescent="0.4">
      <c r="A19" t="s">
        <v>154</v>
      </c>
    </row>
    <row r="20" spans="1:1" x14ac:dyDescent="0.4">
      <c r="A20" t="s">
        <v>155</v>
      </c>
    </row>
    <row r="21" spans="1:1" x14ac:dyDescent="0.4">
      <c r="A21" t="s">
        <v>156</v>
      </c>
    </row>
    <row r="22" spans="1:1" x14ac:dyDescent="0.4">
      <c r="A22" t="s">
        <v>157</v>
      </c>
    </row>
    <row r="23" spans="1:1" x14ac:dyDescent="0.4">
      <c r="A23" t="s">
        <v>158</v>
      </c>
    </row>
    <row r="24" spans="1:1" x14ac:dyDescent="0.4">
      <c r="A24" t="s">
        <v>159</v>
      </c>
    </row>
    <row r="25" spans="1:1" x14ac:dyDescent="0.4">
      <c r="A25" t="s">
        <v>160</v>
      </c>
    </row>
    <row r="26" spans="1:1" ht="13.5" customHeight="1" x14ac:dyDescent="0.4">
      <c r="A26" s="9" t="s">
        <v>161</v>
      </c>
    </row>
    <row r="27" spans="1:1" x14ac:dyDescent="0.4">
      <c r="A27" t="s">
        <v>162</v>
      </c>
    </row>
    <row r="28" spans="1:1" x14ac:dyDescent="0.4">
      <c r="A28" t="s">
        <v>163</v>
      </c>
    </row>
    <row r="29" spans="1:1" x14ac:dyDescent="0.4">
      <c r="A29" t="s">
        <v>164</v>
      </c>
    </row>
    <row r="30" spans="1:1" x14ac:dyDescent="0.4">
      <c r="A30" t="s">
        <v>165</v>
      </c>
    </row>
    <row r="31" spans="1:1" x14ac:dyDescent="0.4">
      <c r="A31" t="s">
        <v>166</v>
      </c>
    </row>
    <row r="32" spans="1:1" x14ac:dyDescent="0.4">
      <c r="A32" t="s">
        <v>167</v>
      </c>
    </row>
    <row r="33" spans="1:1" x14ac:dyDescent="0.4">
      <c r="A33" t="s">
        <v>168</v>
      </c>
    </row>
    <row r="34" spans="1:1" x14ac:dyDescent="0.4">
      <c r="A34" t="s">
        <v>169</v>
      </c>
    </row>
    <row r="35" spans="1:1" x14ac:dyDescent="0.4">
      <c r="A35" t="s">
        <v>170</v>
      </c>
    </row>
    <row r="36" spans="1:1" x14ac:dyDescent="0.4">
      <c r="A36" t="s">
        <v>171</v>
      </c>
    </row>
    <row r="37" spans="1:1" x14ac:dyDescent="0.4">
      <c r="A37" t="s">
        <v>172</v>
      </c>
    </row>
    <row r="38" spans="1:1" x14ac:dyDescent="0.4">
      <c r="A38" t="s">
        <v>173</v>
      </c>
    </row>
    <row r="39" spans="1:1" x14ac:dyDescent="0.4">
      <c r="A39" t="s">
        <v>174</v>
      </c>
    </row>
    <row r="40" spans="1:1" x14ac:dyDescent="0.4">
      <c r="A40" t="s">
        <v>175</v>
      </c>
    </row>
    <row r="41" spans="1:1" x14ac:dyDescent="0.4">
      <c r="A41" t="s">
        <v>176</v>
      </c>
    </row>
    <row r="42" spans="1:1" x14ac:dyDescent="0.4">
      <c r="A42" t="s">
        <v>177</v>
      </c>
    </row>
    <row r="43" spans="1:1" x14ac:dyDescent="0.4">
      <c r="A43" t="s">
        <v>178</v>
      </c>
    </row>
    <row r="44" spans="1:1" x14ac:dyDescent="0.4">
      <c r="A44" t="s">
        <v>179</v>
      </c>
    </row>
    <row r="45" spans="1:1" x14ac:dyDescent="0.4">
      <c r="A45" t="s">
        <v>180</v>
      </c>
    </row>
    <row r="46" spans="1:1" x14ac:dyDescent="0.4">
      <c r="A46" t="s">
        <v>181</v>
      </c>
    </row>
    <row r="47" spans="1:1" x14ac:dyDescent="0.4">
      <c r="A47" t="s">
        <v>182</v>
      </c>
    </row>
  </sheetData>
  <hyperlinks>
    <hyperlink ref="A12" r:id="rId1" tooltip="Persistent link using digital object identifier" xr:uid="{00000000-0004-0000-0200-000000000000}"/>
    <hyperlink ref="A13" r:id="rId2" display="https://doi.org/10.1016/s2589-7500(23)00267-4" xr:uid="{00000000-0004-0000-0200-000001000000}"/>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workbookViewId="0">
      <selection activeCell="C13" sqref="C13"/>
    </sheetView>
  </sheetViews>
  <sheetFormatPr defaultColWidth="11.07421875" defaultRowHeight="14.6" x14ac:dyDescent="0.4"/>
  <cols>
    <col min="1" max="1" width="46.3046875" customWidth="1"/>
  </cols>
  <sheetData>
    <row r="1" spans="1:4" x14ac:dyDescent="0.4">
      <c r="A1" s="2" t="s">
        <v>117</v>
      </c>
    </row>
    <row r="2" spans="1:4" x14ac:dyDescent="0.4">
      <c r="A2" s="2" t="s">
        <v>118</v>
      </c>
    </row>
    <row r="3" spans="1:4" x14ac:dyDescent="0.4">
      <c r="A3" s="20" t="s">
        <v>118</v>
      </c>
      <c r="B3" s="10" t="s">
        <v>193</v>
      </c>
    </row>
    <row r="4" spans="1:4" x14ac:dyDescent="0.4">
      <c r="A4" t="s">
        <v>119</v>
      </c>
      <c r="D4" t="s">
        <v>146</v>
      </c>
    </row>
    <row r="5" spans="1:4" x14ac:dyDescent="0.4">
      <c r="A5" t="s">
        <v>118</v>
      </c>
      <c r="D5" t="s">
        <v>147</v>
      </c>
    </row>
    <row r="6" spans="1:4" x14ac:dyDescent="0.4">
      <c r="A6" t="s">
        <v>120</v>
      </c>
    </row>
    <row r="7" spans="1:4" x14ac:dyDescent="0.4">
      <c r="A7" t="s">
        <v>121</v>
      </c>
    </row>
    <row r="8" spans="1:4" x14ac:dyDescent="0.4">
      <c r="A8" t="s">
        <v>122</v>
      </c>
    </row>
    <row r="9" spans="1:4" x14ac:dyDescent="0.4">
      <c r="A9" t="s">
        <v>123</v>
      </c>
    </row>
    <row r="10" spans="1:4" x14ac:dyDescent="0.4">
      <c r="A10" t="s">
        <v>124</v>
      </c>
    </row>
    <row r="11" spans="1:4" x14ac:dyDescent="0.4">
      <c r="A11" t="s">
        <v>125</v>
      </c>
    </row>
    <row r="12" spans="1:4" x14ac:dyDescent="0.4">
      <c r="A12" t="s">
        <v>126</v>
      </c>
    </row>
    <row r="13" spans="1:4" x14ac:dyDescent="0.4">
      <c r="A13" t="s">
        <v>127</v>
      </c>
    </row>
    <row r="14" spans="1:4" x14ac:dyDescent="0.4">
      <c r="A14" t="s">
        <v>128</v>
      </c>
    </row>
    <row r="15" spans="1:4" x14ac:dyDescent="0.4">
      <c r="A15" t="s">
        <v>129</v>
      </c>
    </row>
    <row r="16" spans="1:4" x14ac:dyDescent="0.4">
      <c r="A16" t="s">
        <v>130</v>
      </c>
    </row>
    <row r="17" spans="1:6" x14ac:dyDescent="0.4">
      <c r="A17" t="s">
        <v>131</v>
      </c>
      <c r="F17" t="s">
        <v>151</v>
      </c>
    </row>
    <row r="18" spans="1:6" x14ac:dyDescent="0.4">
      <c r="A18" t="s">
        <v>132</v>
      </c>
    </row>
    <row r="19" spans="1:6" x14ac:dyDescent="0.4">
      <c r="A19" t="s">
        <v>133</v>
      </c>
    </row>
    <row r="20" spans="1:6" x14ac:dyDescent="0.4">
      <c r="A20" t="s">
        <v>134</v>
      </c>
      <c r="F20" s="16" t="s">
        <v>148</v>
      </c>
    </row>
    <row r="21" spans="1:6" x14ac:dyDescent="0.4">
      <c r="A21" t="s">
        <v>135</v>
      </c>
      <c r="F21" s="16" t="s">
        <v>149</v>
      </c>
    </row>
    <row r="22" spans="1:6" x14ac:dyDescent="0.4">
      <c r="A22" t="s">
        <v>136</v>
      </c>
      <c r="F22" s="16" t="s">
        <v>150</v>
      </c>
    </row>
    <row r="23" spans="1:6" x14ac:dyDescent="0.4">
      <c r="A23" t="s">
        <v>137</v>
      </c>
    </row>
    <row r="24" spans="1:6" x14ac:dyDescent="0.4">
      <c r="A24" t="s">
        <v>138</v>
      </c>
    </row>
    <row r="25" spans="1:6" x14ac:dyDescent="0.4">
      <c r="A25" t="s">
        <v>139</v>
      </c>
    </row>
    <row r="26" spans="1:6" x14ac:dyDescent="0.4">
      <c r="A26" t="s">
        <v>140</v>
      </c>
    </row>
    <row r="27" spans="1:6" x14ac:dyDescent="0.4">
      <c r="A27" t="s">
        <v>141</v>
      </c>
    </row>
    <row r="28" spans="1:6" x14ac:dyDescent="0.4">
      <c r="A28" t="s">
        <v>142</v>
      </c>
    </row>
    <row r="29" spans="1:6" x14ac:dyDescent="0.4">
      <c r="A29" t="s">
        <v>143</v>
      </c>
    </row>
    <row r="30" spans="1:6" x14ac:dyDescent="0.4">
      <c r="A30" t="s">
        <v>144</v>
      </c>
    </row>
    <row r="31" spans="1:6" x14ac:dyDescent="0.4">
      <c r="A31" t="s">
        <v>145</v>
      </c>
    </row>
  </sheetData>
  <hyperlinks>
    <hyperlink ref="A1" r:id="rId1" tooltip="Persistent link using digital object identifier" xr:uid="{00000000-0004-0000-0300-000000000000}"/>
    <hyperlink ref="A2" r:id="rId2" tooltip="Persistent link using digital object identifier" xr:uid="{00000000-0004-0000-0300-000001000000}"/>
    <hyperlink ref="A3" r:id="rId3" tooltip="Persistent link using digital object identifier" xr:uid="{00000000-0004-0000-0300-000002000000}"/>
  </hyperlinks>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zoomScale="190" zoomScaleNormal="190" workbookViewId="0">
      <selection activeCell="A2" sqref="A2"/>
    </sheetView>
  </sheetViews>
  <sheetFormatPr defaultColWidth="11.07421875" defaultRowHeight="14.6" x14ac:dyDescent="0.4"/>
  <sheetData>
    <row r="1" spans="1:7" x14ac:dyDescent="0.4">
      <c r="A1" s="2" t="s">
        <v>101</v>
      </c>
    </row>
    <row r="2" spans="1:7" ht="18" x14ac:dyDescent="0.45">
      <c r="G2" s="12" t="s">
        <v>102</v>
      </c>
    </row>
    <row r="5" spans="1:7" x14ac:dyDescent="0.4">
      <c r="G5" t="s">
        <v>103</v>
      </c>
    </row>
  </sheetData>
  <hyperlinks>
    <hyperlink ref="A1" r:id="rId1" xr:uid="{00000000-0004-0000-0400-000000000000}"/>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6"/>
  <sheetViews>
    <sheetView topLeftCell="A4" zoomScale="190" zoomScaleNormal="190" workbookViewId="0">
      <selection activeCell="A16" sqref="A2:A16"/>
    </sheetView>
  </sheetViews>
  <sheetFormatPr defaultColWidth="11.07421875" defaultRowHeight="14.6" x14ac:dyDescent="0.4"/>
  <cols>
    <col min="1" max="1" width="53.3828125" customWidth="1"/>
  </cols>
  <sheetData>
    <row r="1" spans="1:5" x14ac:dyDescent="0.4">
      <c r="A1" s="10" t="s">
        <v>98</v>
      </c>
    </row>
    <row r="2" spans="1:5" x14ac:dyDescent="0.4">
      <c r="A2" s="2" t="s">
        <v>84</v>
      </c>
      <c r="B2" t="s">
        <v>183</v>
      </c>
    </row>
    <row r="3" spans="1:5" x14ac:dyDescent="0.4">
      <c r="A3" s="2" t="s">
        <v>85</v>
      </c>
      <c r="B3" t="s">
        <v>183</v>
      </c>
      <c r="E3" t="s">
        <v>100</v>
      </c>
    </row>
    <row r="4" spans="1:5" x14ac:dyDescent="0.4">
      <c r="A4" s="2" t="s">
        <v>86</v>
      </c>
      <c r="B4" t="s">
        <v>183</v>
      </c>
    </row>
    <row r="5" spans="1:5" x14ac:dyDescent="0.4">
      <c r="A5" t="s">
        <v>87</v>
      </c>
      <c r="B5" t="s">
        <v>183</v>
      </c>
    </row>
    <row r="6" spans="1:5" x14ac:dyDescent="0.4">
      <c r="A6" s="2" t="s">
        <v>88</v>
      </c>
      <c r="B6" t="s">
        <v>183</v>
      </c>
    </row>
    <row r="7" spans="1:5" x14ac:dyDescent="0.4">
      <c r="A7" s="2" t="s">
        <v>89</v>
      </c>
      <c r="B7" t="s">
        <v>183</v>
      </c>
    </row>
    <row r="8" spans="1:5" x14ac:dyDescent="0.4">
      <c r="A8" s="2" t="s">
        <v>90</v>
      </c>
      <c r="B8" t="s">
        <v>183</v>
      </c>
    </row>
    <row r="9" spans="1:5" x14ac:dyDescent="0.4">
      <c r="A9" s="2" t="s">
        <v>91</v>
      </c>
      <c r="B9" t="s">
        <v>183</v>
      </c>
    </row>
    <row r="10" spans="1:5" x14ac:dyDescent="0.4">
      <c r="A10" t="s">
        <v>92</v>
      </c>
      <c r="B10" t="s">
        <v>183</v>
      </c>
    </row>
    <row r="11" spans="1:5" x14ac:dyDescent="0.4">
      <c r="A11" s="2" t="s">
        <v>93</v>
      </c>
      <c r="B11" t="s">
        <v>183</v>
      </c>
    </row>
    <row r="12" spans="1:5" x14ac:dyDescent="0.4">
      <c r="A12" s="2" t="s">
        <v>94</v>
      </c>
      <c r="B12" t="s">
        <v>183</v>
      </c>
    </row>
    <row r="13" spans="1:5" x14ac:dyDescent="0.4">
      <c r="A13" s="2" t="s">
        <v>95</v>
      </c>
      <c r="B13" t="s">
        <v>183</v>
      </c>
    </row>
    <row r="14" spans="1:5" x14ac:dyDescent="0.4">
      <c r="A14" s="11" t="s">
        <v>96</v>
      </c>
      <c r="B14" t="s">
        <v>183</v>
      </c>
    </row>
    <row r="15" spans="1:5" x14ac:dyDescent="0.4">
      <c r="A15" s="2" t="s">
        <v>97</v>
      </c>
      <c r="B15" t="s">
        <v>183</v>
      </c>
    </row>
    <row r="16" spans="1:5" x14ac:dyDescent="0.4">
      <c r="A16" s="2" t="s">
        <v>99</v>
      </c>
      <c r="B16" t="s">
        <v>183</v>
      </c>
    </row>
  </sheetData>
  <hyperlinks>
    <hyperlink ref="A2" r:id="rId1" display="https://doi.org/10.1109/ESIC64052.2025.10962644" xr:uid="{00000000-0004-0000-0500-000000000000}"/>
    <hyperlink ref="A3" r:id="rId2" display="https://doi.org/10.1109/ICITDA60835.2023.10426919" xr:uid="{00000000-0004-0000-0500-000001000000}"/>
    <hyperlink ref="A4" r:id="rId3" display="https://doi.org/10.1109/EMBC40787.2023.10340404" xr:uid="{00000000-0004-0000-0500-000002000000}"/>
    <hyperlink ref="A6" r:id="rId4" display="https://doi.org/10.1109/CcS49175.2020.9231400" xr:uid="{00000000-0004-0000-0500-000003000000}"/>
    <hyperlink ref="A7" r:id="rId5" display="https://doi.org/10.1109/EMBC46164.2021.9630136" xr:uid="{00000000-0004-0000-0500-000004000000}"/>
    <hyperlink ref="A8" r:id="rId6" display="https://doi.org/10.1109/BIBM49941.2020.9313108" xr:uid="{00000000-0004-0000-0500-000005000000}"/>
    <hyperlink ref="A9" r:id="rId7" display="https://doi.org/10.1109/ICSCNA63714.2024.10864251" xr:uid="{00000000-0004-0000-0500-000006000000}"/>
    <hyperlink ref="A11" r:id="rId8" display="https://doi.org/10.1109/ICSES60034.2023.10465376" xr:uid="{00000000-0004-0000-0500-000007000000}"/>
    <hyperlink ref="A12" r:id="rId9" display="https://doi.org/10.1109/ICACCS60874.2024.10716889" xr:uid="{00000000-0004-0000-0500-000008000000}"/>
    <hyperlink ref="A13" r:id="rId10" display="https://doi.org/10.1109/ECTIDAMTNCON51128.2021.9425764" xr:uid="{00000000-0004-0000-0500-000009000000}"/>
    <hyperlink ref="A14" r:id="rId11" display="https://doi.org/10.1109/ICEIB61477.2024.10602647" xr:uid="{00000000-0004-0000-0500-00000A000000}"/>
    <hyperlink ref="A15" r:id="rId12" display="https://doi.org/10.1109/ICESIC61777.2024.10846126" xr:uid="{00000000-0004-0000-0500-00000B000000}"/>
    <hyperlink ref="A16" r:id="rId13" display="https://doi.org/10.1109/ICOA62581.2024.10753982" xr:uid="{00000000-0004-0000-0500-00000C000000}"/>
  </hyperlinks>
  <pageMargins left="0.7" right="0.7" top="0.75" bottom="0.75" header="0.3" footer="0.3"/>
  <pageSetup orientation="portrait"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Resumen</vt:lpstr>
      <vt:lpstr>Springer</vt:lpstr>
      <vt:lpstr>Scopus</vt:lpstr>
      <vt:lpstr>PubMed</vt:lpstr>
      <vt:lpstr>ElSevier</vt:lpstr>
      <vt:lpstr>ACM DL</vt:lpstr>
      <vt:lpstr>IEEE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 Pérez</dc:creator>
  <cp:lastModifiedBy>Andrés Bastidas</cp:lastModifiedBy>
  <dcterms:created xsi:type="dcterms:W3CDTF">2015-06-05T18:19:34Z</dcterms:created>
  <dcterms:modified xsi:type="dcterms:W3CDTF">2025-10-16T22:06:18Z</dcterms:modified>
</cp:coreProperties>
</file>
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smartworkec-my.sharepoint.com/personal/andres_bastidas_smartwork_com_ec/Documents/Archivos/Doctorado en Informática - EPN/Paper SLR Preclamsia 2025/7. MDPI/manual_verification_protocol_package/"/>
    </mc:Choice>
  </mc:AlternateContent>
  <xr:revisionPtr revIDLastSave="0" documentId="8_{E2C088E5-5D35-40C7-9709-E0E35BD2288E}" xr6:coauthVersionLast="47" xr6:coauthVersionMax="47" xr10:uidLastSave="{00000000-0000-0000-0000-000000000000}"/>
  <bookViews>
    <workbookView xWindow="-103" yWindow="-18617" windowWidth="33120" windowHeight="18720" firstSheet="4" activeTab="4" xr2:uid="{00000000-000D-0000-FFFF-FFFF00000000}"/>
  </bookViews>
  <sheets>
    <sheet name="README" sheetId="1" r:id="rId1"/>
    <sheet name="Data_Dictionary" sheetId="2" r:id="rId2"/>
    <sheet name="PRISMA-S_Dates" sheetId="3" r:id="rId3"/>
    <sheet name="Eligibility_R1" sheetId="4" r:id="rId4"/>
    <sheet name="Eligibility_R2" sheetId="5" r:id="rId5"/>
    <sheet name="Eligibility_Consensus" sheetId="6" r:id="rId6"/>
    <sheet name="Extraction_R1" sheetId="7" r:id="rId7"/>
    <sheet name="Extraction_Consensus" sheetId="9" r:id="rId8"/>
    <sheet name="Summary" sheetId="10" r:id="rId9"/>
    <sheet name="Extraction_R2"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8" i="5" l="1"/>
  <c r="I148" i="4"/>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B20" i="10"/>
  <c r="B18" i="10"/>
  <c r="B17" i="10"/>
  <c r="B16" i="10"/>
  <c r="B13" i="10"/>
  <c r="B12" i="10"/>
  <c r="B11" i="10"/>
  <c r="B10" i="10"/>
  <c r="B5" i="10"/>
  <c r="B4" i="10"/>
  <c r="B3" i="10"/>
  <c r="H36" i="9"/>
  <c r="G36" i="9"/>
  <c r="F36" i="9"/>
  <c r="E36" i="9"/>
  <c r="H35" i="9"/>
  <c r="G35" i="9"/>
  <c r="F35" i="9"/>
  <c r="E35" i="9"/>
  <c r="H34" i="9"/>
  <c r="G34" i="9"/>
  <c r="F34" i="9"/>
  <c r="E34" i="9"/>
  <c r="H33" i="9"/>
  <c r="G33" i="9"/>
  <c r="F33" i="9"/>
  <c r="E33" i="9"/>
  <c r="H32" i="9"/>
  <c r="G32" i="9"/>
  <c r="F32" i="9"/>
  <c r="E32" i="9"/>
  <c r="H31" i="9"/>
  <c r="G31" i="9"/>
  <c r="F31" i="9"/>
  <c r="E31" i="9"/>
  <c r="H30" i="9"/>
  <c r="G30" i="9"/>
  <c r="F30" i="9"/>
  <c r="E30" i="9"/>
  <c r="H29" i="9"/>
  <c r="G29" i="9"/>
  <c r="F29" i="9"/>
  <c r="E29" i="9"/>
  <c r="H28" i="9"/>
  <c r="G28" i="9"/>
  <c r="F28" i="9"/>
  <c r="E28" i="9"/>
  <c r="H27" i="9"/>
  <c r="G27" i="9"/>
  <c r="F27" i="9"/>
  <c r="E27" i="9"/>
  <c r="H26" i="9"/>
  <c r="G26" i="9"/>
  <c r="F26" i="9"/>
  <c r="E26" i="9"/>
  <c r="H25" i="9"/>
  <c r="G25" i="9"/>
  <c r="F25" i="9"/>
  <c r="E25" i="9"/>
  <c r="H24" i="9"/>
  <c r="G24" i="9"/>
  <c r="F24" i="9"/>
  <c r="E24" i="9"/>
  <c r="H23" i="9"/>
  <c r="G23" i="9"/>
  <c r="F23" i="9"/>
  <c r="E23" i="9"/>
  <c r="H22" i="9"/>
  <c r="G22" i="9"/>
  <c r="F22" i="9"/>
  <c r="E22" i="9"/>
  <c r="H21" i="9"/>
  <c r="G21" i="9"/>
  <c r="F21" i="9"/>
  <c r="E21" i="9"/>
  <c r="H20" i="9"/>
  <c r="G20" i="9"/>
  <c r="F20" i="9"/>
  <c r="E20" i="9"/>
  <c r="H19" i="9"/>
  <c r="G19" i="9"/>
  <c r="F19" i="9"/>
  <c r="E19" i="9"/>
  <c r="H18" i="9"/>
  <c r="G18" i="9"/>
  <c r="F18" i="9"/>
  <c r="E18" i="9"/>
  <c r="H17" i="9"/>
  <c r="G17" i="9"/>
  <c r="F17" i="9"/>
  <c r="E17" i="9"/>
  <c r="H16" i="9"/>
  <c r="G16" i="9"/>
  <c r="F16" i="9"/>
  <c r="E16" i="9"/>
  <c r="H15" i="9"/>
  <c r="G15" i="9"/>
  <c r="F15" i="9"/>
  <c r="E15" i="9"/>
  <c r="H14" i="9"/>
  <c r="G14" i="9"/>
  <c r="F14" i="9"/>
  <c r="E14" i="9"/>
  <c r="H13" i="9"/>
  <c r="G13" i="9"/>
  <c r="F13" i="9"/>
  <c r="E13" i="9"/>
  <c r="H12" i="9"/>
  <c r="G12" i="9"/>
  <c r="F12" i="9"/>
  <c r="E12" i="9"/>
  <c r="H11" i="9"/>
  <c r="G11" i="9"/>
  <c r="F11" i="9"/>
  <c r="E11" i="9"/>
  <c r="H10" i="9"/>
  <c r="G10" i="9"/>
  <c r="F10" i="9"/>
  <c r="E10" i="9"/>
  <c r="H9" i="9"/>
  <c r="G9" i="9"/>
  <c r="F9" i="9"/>
  <c r="E9" i="9"/>
  <c r="H8" i="9"/>
  <c r="G8" i="9"/>
  <c r="F8" i="9"/>
  <c r="E8" i="9"/>
  <c r="H7" i="9"/>
  <c r="G7" i="9"/>
  <c r="F7" i="9"/>
  <c r="E7" i="9"/>
  <c r="H6" i="9"/>
  <c r="G6" i="9"/>
  <c r="F6" i="9"/>
  <c r="E6" i="9"/>
  <c r="H5" i="9"/>
  <c r="G5" i="9"/>
  <c r="F5" i="9"/>
  <c r="E5" i="9"/>
  <c r="H4" i="9"/>
  <c r="G4" i="9"/>
  <c r="F4" i="9"/>
  <c r="E4" i="9"/>
  <c r="H3" i="9"/>
  <c r="G3" i="9"/>
  <c r="F3" i="9"/>
  <c r="E3" i="9"/>
  <c r="H2" i="9"/>
  <c r="G2" i="9"/>
  <c r="B19" i="10" s="1"/>
  <c r="F2" i="9"/>
  <c r="E2" i="9"/>
  <c r="J146" i="6"/>
  <c r="I146" i="6"/>
  <c r="G146" i="6"/>
  <c r="F146" i="6"/>
  <c r="H146" i="6" s="1"/>
  <c r="J145" i="6"/>
  <c r="I145" i="6"/>
  <c r="G145" i="6"/>
  <c r="F145" i="6"/>
  <c r="H145" i="6" s="1"/>
  <c r="J144" i="6"/>
  <c r="I144" i="6"/>
  <c r="G144" i="6"/>
  <c r="F144" i="6"/>
  <c r="H144" i="6" s="1"/>
  <c r="J143" i="6"/>
  <c r="I143" i="6"/>
  <c r="G143" i="6"/>
  <c r="F143" i="6"/>
  <c r="H143" i="6" s="1"/>
  <c r="J142" i="6"/>
  <c r="I142" i="6"/>
  <c r="G142" i="6"/>
  <c r="F142" i="6"/>
  <c r="H142" i="6" s="1"/>
  <c r="J141" i="6"/>
  <c r="I141" i="6"/>
  <c r="G141" i="6"/>
  <c r="F141" i="6"/>
  <c r="H141" i="6" s="1"/>
  <c r="J140" i="6"/>
  <c r="I140" i="6"/>
  <c r="G140" i="6"/>
  <c r="F140" i="6"/>
  <c r="H140" i="6" s="1"/>
  <c r="J139" i="6"/>
  <c r="I139" i="6"/>
  <c r="G139" i="6"/>
  <c r="F139" i="6"/>
  <c r="H139" i="6" s="1"/>
  <c r="J138" i="6"/>
  <c r="I138" i="6"/>
  <c r="G138" i="6"/>
  <c r="F138" i="6"/>
  <c r="H138" i="6" s="1"/>
  <c r="J137" i="6"/>
  <c r="I137" i="6"/>
  <c r="G137" i="6"/>
  <c r="F137" i="6"/>
  <c r="H137" i="6" s="1"/>
  <c r="J136" i="6"/>
  <c r="I136" i="6"/>
  <c r="G136" i="6"/>
  <c r="F136" i="6"/>
  <c r="H136" i="6" s="1"/>
  <c r="J135" i="6"/>
  <c r="I135" i="6"/>
  <c r="G135" i="6"/>
  <c r="F135" i="6"/>
  <c r="H135" i="6" s="1"/>
  <c r="J134" i="6"/>
  <c r="I134" i="6"/>
  <c r="G134" i="6"/>
  <c r="F134" i="6"/>
  <c r="H134" i="6" s="1"/>
  <c r="J133" i="6"/>
  <c r="I133" i="6"/>
  <c r="G133" i="6"/>
  <c r="F133" i="6"/>
  <c r="H133" i="6" s="1"/>
  <c r="J132" i="6"/>
  <c r="I132" i="6"/>
  <c r="G132" i="6"/>
  <c r="F132" i="6"/>
  <c r="H132" i="6" s="1"/>
  <c r="J131" i="6"/>
  <c r="I131" i="6"/>
  <c r="G131" i="6"/>
  <c r="F131" i="6"/>
  <c r="H131" i="6" s="1"/>
  <c r="J130" i="6"/>
  <c r="I130" i="6"/>
  <c r="G130" i="6"/>
  <c r="F130" i="6"/>
  <c r="H130" i="6" s="1"/>
  <c r="J129" i="6"/>
  <c r="I129" i="6"/>
  <c r="G129" i="6"/>
  <c r="F129" i="6"/>
  <c r="H129" i="6" s="1"/>
  <c r="J128" i="6"/>
  <c r="I128" i="6"/>
  <c r="G128" i="6"/>
  <c r="F128" i="6"/>
  <c r="H128" i="6" s="1"/>
  <c r="J127" i="6"/>
  <c r="I127" i="6"/>
  <c r="G127" i="6"/>
  <c r="F127" i="6"/>
  <c r="H127" i="6" s="1"/>
  <c r="J126" i="6"/>
  <c r="I126" i="6"/>
  <c r="G126" i="6"/>
  <c r="F126" i="6"/>
  <c r="H126" i="6" s="1"/>
  <c r="J125" i="6"/>
  <c r="I125" i="6"/>
  <c r="G125" i="6"/>
  <c r="F125" i="6"/>
  <c r="H125" i="6" s="1"/>
  <c r="J124" i="6"/>
  <c r="I124" i="6"/>
  <c r="G124" i="6"/>
  <c r="F124" i="6"/>
  <c r="H124" i="6" s="1"/>
  <c r="J123" i="6"/>
  <c r="I123" i="6"/>
  <c r="G123" i="6"/>
  <c r="F123" i="6"/>
  <c r="H123" i="6" s="1"/>
  <c r="J122" i="6"/>
  <c r="I122" i="6"/>
  <c r="G122" i="6"/>
  <c r="F122" i="6"/>
  <c r="H122" i="6" s="1"/>
  <c r="J121" i="6"/>
  <c r="I121" i="6"/>
  <c r="G121" i="6"/>
  <c r="F121" i="6"/>
  <c r="H121" i="6" s="1"/>
  <c r="J120" i="6"/>
  <c r="I120" i="6"/>
  <c r="G120" i="6"/>
  <c r="F120" i="6"/>
  <c r="H120" i="6" s="1"/>
  <c r="J119" i="6"/>
  <c r="I119" i="6"/>
  <c r="G119" i="6"/>
  <c r="F119" i="6"/>
  <c r="H119" i="6" s="1"/>
  <c r="J118" i="6"/>
  <c r="I118" i="6"/>
  <c r="G118" i="6"/>
  <c r="F118" i="6"/>
  <c r="H118" i="6" s="1"/>
  <c r="J117" i="6"/>
  <c r="I117" i="6"/>
  <c r="G117" i="6"/>
  <c r="F117" i="6"/>
  <c r="H117" i="6" s="1"/>
  <c r="J116" i="6"/>
  <c r="I116" i="6"/>
  <c r="G116" i="6"/>
  <c r="F116" i="6"/>
  <c r="H116" i="6" s="1"/>
  <c r="J115" i="6"/>
  <c r="I115" i="6"/>
  <c r="G115" i="6"/>
  <c r="F115" i="6"/>
  <c r="H115" i="6" s="1"/>
  <c r="J114" i="6"/>
  <c r="I114" i="6"/>
  <c r="G114" i="6"/>
  <c r="F114" i="6"/>
  <c r="H114" i="6" s="1"/>
  <c r="J113" i="6"/>
  <c r="I113" i="6"/>
  <c r="G113" i="6"/>
  <c r="F113" i="6"/>
  <c r="H113" i="6" s="1"/>
  <c r="J112" i="6"/>
  <c r="I112" i="6"/>
  <c r="G112" i="6"/>
  <c r="F112" i="6"/>
  <c r="H112" i="6" s="1"/>
  <c r="J111" i="6"/>
  <c r="I111" i="6"/>
  <c r="G111" i="6"/>
  <c r="F111" i="6"/>
  <c r="H111" i="6" s="1"/>
  <c r="J110" i="6"/>
  <c r="I110" i="6"/>
  <c r="G110" i="6"/>
  <c r="F110" i="6"/>
  <c r="H110" i="6" s="1"/>
  <c r="J109" i="6"/>
  <c r="I109" i="6"/>
  <c r="G109" i="6"/>
  <c r="F109" i="6"/>
  <c r="H109" i="6" s="1"/>
  <c r="J108" i="6"/>
  <c r="I108" i="6"/>
  <c r="G108" i="6"/>
  <c r="F108" i="6"/>
  <c r="H108" i="6" s="1"/>
  <c r="J107" i="6"/>
  <c r="I107" i="6"/>
  <c r="G107" i="6"/>
  <c r="F107" i="6"/>
  <c r="H107" i="6" s="1"/>
  <c r="J106" i="6"/>
  <c r="I106" i="6"/>
  <c r="G106" i="6"/>
  <c r="F106" i="6"/>
  <c r="H106" i="6" s="1"/>
  <c r="J105" i="6"/>
  <c r="I105" i="6"/>
  <c r="G105" i="6"/>
  <c r="F105" i="6"/>
  <c r="H105" i="6" s="1"/>
  <c r="J104" i="6"/>
  <c r="I104" i="6"/>
  <c r="G104" i="6"/>
  <c r="F104" i="6"/>
  <c r="H104" i="6" s="1"/>
  <c r="J103" i="6"/>
  <c r="I103" i="6"/>
  <c r="G103" i="6"/>
  <c r="F103" i="6"/>
  <c r="H103" i="6" s="1"/>
  <c r="J102" i="6"/>
  <c r="I102" i="6"/>
  <c r="G102" i="6"/>
  <c r="F102" i="6"/>
  <c r="H102" i="6" s="1"/>
  <c r="J101" i="6"/>
  <c r="I101" i="6"/>
  <c r="G101" i="6"/>
  <c r="F101" i="6"/>
  <c r="H101" i="6" s="1"/>
  <c r="J100" i="6"/>
  <c r="I100" i="6"/>
  <c r="G100" i="6"/>
  <c r="F100" i="6"/>
  <c r="H100" i="6" s="1"/>
  <c r="J99" i="6"/>
  <c r="I99" i="6"/>
  <c r="G99" i="6"/>
  <c r="F99" i="6"/>
  <c r="H99" i="6" s="1"/>
  <c r="J98" i="6"/>
  <c r="I98" i="6"/>
  <c r="G98" i="6"/>
  <c r="F98" i="6"/>
  <c r="H98" i="6" s="1"/>
  <c r="J97" i="6"/>
  <c r="I97" i="6"/>
  <c r="G97" i="6"/>
  <c r="F97" i="6"/>
  <c r="H97" i="6" s="1"/>
  <c r="J96" i="6"/>
  <c r="I96" i="6"/>
  <c r="G96" i="6"/>
  <c r="F96" i="6"/>
  <c r="H96" i="6" s="1"/>
  <c r="J95" i="6"/>
  <c r="I95" i="6"/>
  <c r="G95" i="6"/>
  <c r="F95" i="6"/>
  <c r="H95" i="6" s="1"/>
  <c r="J94" i="6"/>
  <c r="I94" i="6"/>
  <c r="G94" i="6"/>
  <c r="F94" i="6"/>
  <c r="H94" i="6" s="1"/>
  <c r="J93" i="6"/>
  <c r="I93" i="6"/>
  <c r="G93" i="6"/>
  <c r="F93" i="6"/>
  <c r="H93" i="6" s="1"/>
  <c r="J92" i="6"/>
  <c r="I92" i="6"/>
  <c r="G92" i="6"/>
  <c r="F92" i="6"/>
  <c r="H92" i="6" s="1"/>
  <c r="J91" i="6"/>
  <c r="I91" i="6"/>
  <c r="G91" i="6"/>
  <c r="F91" i="6"/>
  <c r="H91" i="6" s="1"/>
  <c r="J90" i="6"/>
  <c r="I90" i="6"/>
  <c r="G90" i="6"/>
  <c r="F90" i="6"/>
  <c r="H90" i="6" s="1"/>
  <c r="J89" i="6"/>
  <c r="I89" i="6"/>
  <c r="G89" i="6"/>
  <c r="F89" i="6"/>
  <c r="H89" i="6" s="1"/>
  <c r="J88" i="6"/>
  <c r="I88" i="6"/>
  <c r="G88" i="6"/>
  <c r="F88" i="6"/>
  <c r="H88" i="6" s="1"/>
  <c r="J87" i="6"/>
  <c r="I87" i="6"/>
  <c r="G87" i="6"/>
  <c r="F87" i="6"/>
  <c r="H87" i="6" s="1"/>
  <c r="J86" i="6"/>
  <c r="I86" i="6"/>
  <c r="G86" i="6"/>
  <c r="F86" i="6"/>
  <c r="H86" i="6" s="1"/>
  <c r="J85" i="6"/>
  <c r="I85" i="6"/>
  <c r="G85" i="6"/>
  <c r="F85" i="6"/>
  <c r="H85" i="6" s="1"/>
  <c r="J84" i="6"/>
  <c r="I84" i="6"/>
  <c r="G84" i="6"/>
  <c r="F84" i="6"/>
  <c r="H84" i="6" s="1"/>
  <c r="J83" i="6"/>
  <c r="I83" i="6"/>
  <c r="G83" i="6"/>
  <c r="F83" i="6"/>
  <c r="H83" i="6" s="1"/>
  <c r="J82" i="6"/>
  <c r="I82" i="6"/>
  <c r="G82" i="6"/>
  <c r="F82" i="6"/>
  <c r="H82" i="6" s="1"/>
  <c r="J81" i="6"/>
  <c r="I81" i="6"/>
  <c r="G81" i="6"/>
  <c r="F81" i="6"/>
  <c r="H81" i="6" s="1"/>
  <c r="J80" i="6"/>
  <c r="I80" i="6"/>
  <c r="G80" i="6"/>
  <c r="F80" i="6"/>
  <c r="H80" i="6" s="1"/>
  <c r="J79" i="6"/>
  <c r="I79" i="6"/>
  <c r="G79" i="6"/>
  <c r="F79" i="6"/>
  <c r="H79" i="6" s="1"/>
  <c r="J78" i="6"/>
  <c r="I78" i="6"/>
  <c r="G78" i="6"/>
  <c r="F78" i="6"/>
  <c r="J77" i="6"/>
  <c r="I77" i="6"/>
  <c r="G77" i="6"/>
  <c r="F77" i="6"/>
  <c r="H77" i="6" s="1"/>
  <c r="J76" i="6"/>
  <c r="I76" i="6"/>
  <c r="G76" i="6"/>
  <c r="F76" i="6"/>
  <c r="H76" i="6" s="1"/>
  <c r="J75" i="6"/>
  <c r="I75" i="6"/>
  <c r="G75" i="6"/>
  <c r="F75" i="6"/>
  <c r="H75" i="6" s="1"/>
  <c r="J74" i="6"/>
  <c r="I74" i="6"/>
  <c r="G74" i="6"/>
  <c r="F74" i="6"/>
  <c r="H74" i="6" s="1"/>
  <c r="J73" i="6"/>
  <c r="I73" i="6"/>
  <c r="G73" i="6"/>
  <c r="F73" i="6"/>
  <c r="H73" i="6" s="1"/>
  <c r="J72" i="6"/>
  <c r="I72" i="6"/>
  <c r="G72" i="6"/>
  <c r="F72" i="6"/>
  <c r="H72" i="6" s="1"/>
  <c r="J71" i="6"/>
  <c r="I71" i="6"/>
  <c r="G71" i="6"/>
  <c r="F71" i="6"/>
  <c r="H71" i="6" s="1"/>
  <c r="J70" i="6"/>
  <c r="I70" i="6"/>
  <c r="G70" i="6"/>
  <c r="F70" i="6"/>
  <c r="H70" i="6" s="1"/>
  <c r="J69" i="6"/>
  <c r="I69" i="6"/>
  <c r="G69" i="6"/>
  <c r="F69" i="6"/>
  <c r="H69" i="6" s="1"/>
  <c r="J68" i="6"/>
  <c r="I68" i="6"/>
  <c r="G68" i="6"/>
  <c r="F68" i="6"/>
  <c r="H68" i="6" s="1"/>
  <c r="J67" i="6"/>
  <c r="I67" i="6"/>
  <c r="G67" i="6"/>
  <c r="F67" i="6"/>
  <c r="H67" i="6" s="1"/>
  <c r="J66" i="6"/>
  <c r="I66" i="6"/>
  <c r="G66" i="6"/>
  <c r="F66" i="6"/>
  <c r="H66" i="6" s="1"/>
  <c r="J65" i="6"/>
  <c r="I65" i="6"/>
  <c r="G65" i="6"/>
  <c r="F65" i="6"/>
  <c r="H65" i="6" s="1"/>
  <c r="J64" i="6"/>
  <c r="I64" i="6"/>
  <c r="G64" i="6"/>
  <c r="F64" i="6"/>
  <c r="H64" i="6" s="1"/>
  <c r="J63" i="6"/>
  <c r="I63" i="6"/>
  <c r="G63" i="6"/>
  <c r="F63" i="6"/>
  <c r="H63" i="6" s="1"/>
  <c r="J62" i="6"/>
  <c r="I62" i="6"/>
  <c r="G62" i="6"/>
  <c r="F62" i="6"/>
  <c r="H62" i="6" s="1"/>
  <c r="J61" i="6"/>
  <c r="I61" i="6"/>
  <c r="G61" i="6"/>
  <c r="F61" i="6"/>
  <c r="H61" i="6" s="1"/>
  <c r="J60" i="6"/>
  <c r="I60" i="6"/>
  <c r="G60" i="6"/>
  <c r="F60" i="6"/>
  <c r="H60" i="6" s="1"/>
  <c r="J59" i="6"/>
  <c r="I59" i="6"/>
  <c r="G59" i="6"/>
  <c r="F59" i="6"/>
  <c r="H59" i="6" s="1"/>
  <c r="J58" i="6"/>
  <c r="I58" i="6"/>
  <c r="G58" i="6"/>
  <c r="F58" i="6"/>
  <c r="H58" i="6" s="1"/>
  <c r="J57" i="6"/>
  <c r="I57" i="6"/>
  <c r="G57" i="6"/>
  <c r="F57" i="6"/>
  <c r="H57" i="6" s="1"/>
  <c r="J56" i="6"/>
  <c r="I56" i="6"/>
  <c r="G56" i="6"/>
  <c r="F56" i="6"/>
  <c r="H56" i="6" s="1"/>
  <c r="J55" i="6"/>
  <c r="I55" i="6"/>
  <c r="G55" i="6"/>
  <c r="F55" i="6"/>
  <c r="H55" i="6" s="1"/>
  <c r="J54" i="6"/>
  <c r="I54" i="6"/>
  <c r="G54" i="6"/>
  <c r="F54" i="6"/>
  <c r="H54" i="6" s="1"/>
  <c r="J53" i="6"/>
  <c r="I53" i="6"/>
  <c r="G53" i="6"/>
  <c r="F53" i="6"/>
  <c r="H53" i="6" s="1"/>
  <c r="J52" i="6"/>
  <c r="I52" i="6"/>
  <c r="G52" i="6"/>
  <c r="F52" i="6"/>
  <c r="H52" i="6" s="1"/>
  <c r="J51" i="6"/>
  <c r="I51" i="6"/>
  <c r="G51" i="6"/>
  <c r="F51" i="6"/>
  <c r="H51" i="6" s="1"/>
  <c r="J50" i="6"/>
  <c r="I50" i="6"/>
  <c r="G50" i="6"/>
  <c r="F50" i="6"/>
  <c r="H50" i="6" s="1"/>
  <c r="J49" i="6"/>
  <c r="I49" i="6"/>
  <c r="G49" i="6"/>
  <c r="F49" i="6"/>
  <c r="H49" i="6" s="1"/>
  <c r="J48" i="6"/>
  <c r="I48" i="6"/>
  <c r="G48" i="6"/>
  <c r="F48" i="6"/>
  <c r="J47" i="6"/>
  <c r="I47" i="6"/>
  <c r="G47" i="6"/>
  <c r="F47" i="6"/>
  <c r="H47" i="6" s="1"/>
  <c r="J46" i="6"/>
  <c r="I46" i="6"/>
  <c r="G46" i="6"/>
  <c r="F46" i="6"/>
  <c r="H46" i="6" s="1"/>
  <c r="J45" i="6"/>
  <c r="I45" i="6"/>
  <c r="G45" i="6"/>
  <c r="F45" i="6"/>
  <c r="H45" i="6" s="1"/>
  <c r="J44" i="6"/>
  <c r="I44" i="6"/>
  <c r="G44" i="6"/>
  <c r="F44" i="6"/>
  <c r="H44" i="6" s="1"/>
  <c r="J43" i="6"/>
  <c r="I43" i="6"/>
  <c r="G43" i="6"/>
  <c r="F43" i="6"/>
  <c r="H43" i="6" s="1"/>
  <c r="J42" i="6"/>
  <c r="I42" i="6"/>
  <c r="G42" i="6"/>
  <c r="F42" i="6"/>
  <c r="H42" i="6" s="1"/>
  <c r="J41" i="6"/>
  <c r="I41" i="6"/>
  <c r="G41" i="6"/>
  <c r="F41" i="6"/>
  <c r="H41" i="6" s="1"/>
  <c r="J40" i="6"/>
  <c r="I40" i="6"/>
  <c r="G40" i="6"/>
  <c r="F40" i="6"/>
  <c r="H40" i="6" s="1"/>
  <c r="J39" i="6"/>
  <c r="I39" i="6"/>
  <c r="G39" i="6"/>
  <c r="F39" i="6"/>
  <c r="H39" i="6" s="1"/>
  <c r="J38" i="6"/>
  <c r="I38" i="6"/>
  <c r="G38" i="6"/>
  <c r="F38" i="6"/>
  <c r="H38" i="6" s="1"/>
  <c r="J37" i="6"/>
  <c r="I37" i="6"/>
  <c r="G37" i="6"/>
  <c r="F37" i="6"/>
  <c r="H37" i="6" s="1"/>
  <c r="J36" i="6"/>
  <c r="I36" i="6"/>
  <c r="G36" i="6"/>
  <c r="F36" i="6"/>
  <c r="H36" i="6" s="1"/>
  <c r="J35" i="6"/>
  <c r="I35" i="6"/>
  <c r="G35" i="6"/>
  <c r="F35" i="6"/>
  <c r="H35" i="6" s="1"/>
  <c r="J34" i="6"/>
  <c r="I34" i="6"/>
  <c r="G34" i="6"/>
  <c r="F34" i="6"/>
  <c r="H34" i="6" s="1"/>
  <c r="J33" i="6"/>
  <c r="I33" i="6"/>
  <c r="G33" i="6"/>
  <c r="F33" i="6"/>
  <c r="H33" i="6" s="1"/>
  <c r="J32" i="6"/>
  <c r="I32" i="6"/>
  <c r="G32" i="6"/>
  <c r="F32" i="6"/>
  <c r="H32" i="6" s="1"/>
  <c r="J31" i="6"/>
  <c r="I31" i="6"/>
  <c r="G31" i="6"/>
  <c r="F31" i="6"/>
  <c r="H31" i="6" s="1"/>
  <c r="J30" i="6"/>
  <c r="I30" i="6"/>
  <c r="G30" i="6"/>
  <c r="F30" i="6"/>
  <c r="H30" i="6" s="1"/>
  <c r="J29" i="6"/>
  <c r="I29" i="6"/>
  <c r="G29" i="6"/>
  <c r="F29" i="6"/>
  <c r="H29" i="6" s="1"/>
  <c r="J28" i="6"/>
  <c r="I28" i="6"/>
  <c r="G28" i="6"/>
  <c r="F28" i="6"/>
  <c r="H28" i="6" s="1"/>
  <c r="J27" i="6"/>
  <c r="I27" i="6"/>
  <c r="G27" i="6"/>
  <c r="F27" i="6"/>
  <c r="H27" i="6" s="1"/>
  <c r="J26" i="6"/>
  <c r="I26" i="6"/>
  <c r="G26" i="6"/>
  <c r="F26" i="6"/>
  <c r="H26" i="6" s="1"/>
  <c r="J25" i="6"/>
  <c r="I25" i="6"/>
  <c r="G25" i="6"/>
  <c r="F25" i="6"/>
  <c r="H25" i="6" s="1"/>
  <c r="J24" i="6"/>
  <c r="I24" i="6"/>
  <c r="G24" i="6"/>
  <c r="F24" i="6"/>
  <c r="H24" i="6" s="1"/>
  <c r="J23" i="6"/>
  <c r="I23" i="6"/>
  <c r="G23" i="6"/>
  <c r="F23" i="6"/>
  <c r="H23" i="6" s="1"/>
  <c r="J22" i="6"/>
  <c r="I22" i="6"/>
  <c r="G22" i="6"/>
  <c r="F22" i="6"/>
  <c r="H22" i="6" s="1"/>
  <c r="J21" i="6"/>
  <c r="I21" i="6"/>
  <c r="G21" i="6"/>
  <c r="F21" i="6"/>
  <c r="H21" i="6" s="1"/>
  <c r="J20" i="6"/>
  <c r="I20" i="6"/>
  <c r="G20" i="6"/>
  <c r="F20" i="6"/>
  <c r="H20" i="6" s="1"/>
  <c r="J19" i="6"/>
  <c r="I19" i="6"/>
  <c r="G19" i="6"/>
  <c r="F19" i="6"/>
  <c r="H19" i="6" s="1"/>
  <c r="J18" i="6"/>
  <c r="I18" i="6"/>
  <c r="G18" i="6"/>
  <c r="F18" i="6"/>
  <c r="H18" i="6" s="1"/>
  <c r="J17" i="6"/>
  <c r="I17" i="6"/>
  <c r="G17" i="6"/>
  <c r="F17" i="6"/>
  <c r="H17" i="6" s="1"/>
  <c r="J16" i="6"/>
  <c r="I16" i="6"/>
  <c r="G16" i="6"/>
  <c r="F16" i="6"/>
  <c r="H16" i="6" s="1"/>
  <c r="J15" i="6"/>
  <c r="I15" i="6"/>
  <c r="G15" i="6"/>
  <c r="F15" i="6"/>
  <c r="H15" i="6" s="1"/>
  <c r="J14" i="6"/>
  <c r="I14" i="6"/>
  <c r="G14" i="6"/>
  <c r="F14" i="6"/>
  <c r="H14" i="6" s="1"/>
  <c r="J13" i="6"/>
  <c r="I13" i="6"/>
  <c r="G13" i="6"/>
  <c r="F13" i="6"/>
  <c r="H13" i="6" s="1"/>
  <c r="J12" i="6"/>
  <c r="I12" i="6"/>
  <c r="G12" i="6"/>
  <c r="F12" i="6"/>
  <c r="H12" i="6" s="1"/>
  <c r="J11" i="6"/>
  <c r="I11" i="6"/>
  <c r="G11" i="6"/>
  <c r="F11" i="6"/>
  <c r="H11" i="6" s="1"/>
  <c r="J10" i="6"/>
  <c r="I10" i="6"/>
  <c r="G10" i="6"/>
  <c r="F10" i="6"/>
  <c r="H10" i="6" s="1"/>
  <c r="J9" i="6"/>
  <c r="I9" i="6"/>
  <c r="G9" i="6"/>
  <c r="F9" i="6"/>
  <c r="H9" i="6" s="1"/>
  <c r="J8" i="6"/>
  <c r="I8" i="6"/>
  <c r="G8" i="6"/>
  <c r="F8" i="6"/>
  <c r="H8" i="6" s="1"/>
  <c r="J7" i="6"/>
  <c r="I7" i="6"/>
  <c r="G7" i="6"/>
  <c r="F7" i="6"/>
  <c r="H7" i="6" s="1"/>
  <c r="J6" i="6"/>
  <c r="I6" i="6"/>
  <c r="G6" i="6"/>
  <c r="F6" i="6"/>
  <c r="H6" i="6" s="1"/>
  <c r="J5" i="6"/>
  <c r="I5" i="6"/>
  <c r="G5" i="6"/>
  <c r="F5" i="6"/>
  <c r="H5" i="6" s="1"/>
  <c r="J4" i="6"/>
  <c r="I4" i="6"/>
  <c r="G4" i="6"/>
  <c r="F4" i="6"/>
  <c r="H4" i="6" s="1"/>
  <c r="J3" i="6"/>
  <c r="I3" i="6"/>
  <c r="G3" i="6"/>
  <c r="F3" i="6"/>
  <c r="H3" i="6" s="1"/>
  <c r="J2" i="6"/>
  <c r="I2" i="6"/>
  <c r="G2" i="6"/>
  <c r="F2" i="6"/>
  <c r="H2" i="6" s="1"/>
  <c r="H48" i="6" l="1"/>
  <c r="H78" i="6"/>
  <c r="B6" i="10"/>
  <c r="B7" i="10"/>
  <c r="B8" i="10"/>
  <c r="B14" i="10" l="1"/>
  <c r="B9" i="10"/>
  <c r="B15" i="10" l="1"/>
</calcChain>
</file>

<file path=xl/sharedStrings.xml><?xml version="1.0" encoding="utf-8"?>
<sst xmlns="http://schemas.openxmlformats.org/spreadsheetml/2006/main" count="5835" uniqueCount="1064">
  <si>
    <t>Manual verification protocol for abstract-level mapping review</t>
  </si>
  <si>
    <t>Purpose</t>
  </si>
  <si>
    <t>Provide an auditable human verification layer for the revised abstract-level systematic mapping review.</t>
  </si>
  <si>
    <t>Layer A</t>
  </si>
  <si>
    <t>Eligibility verification: two reviewers independently classify the 145 technically retained records as Include, Exclude, or Unclear and assign a standardized exclusion reason.</t>
  </si>
  <si>
    <t>Layer B</t>
  </si>
  <si>
    <t>Extraction verification: two reviewers independently check the key extracted fields for the 35 studies retained in the main synthesis.</t>
  </si>
  <si>
    <t>Evidence source</t>
  </si>
  <si>
    <t>Use title, abstract, DOI, year, source metadata, and publisher/Crossref metadata. Use full text only to resolve eligibility ambiguity, and record that use explicitly.</t>
  </si>
  <si>
    <t>Independence</t>
  </si>
  <si>
    <t>Reviewers should complete Eligibility_R1/R2 and Extraction_R1/R2 independently before consensus. Do not edit consensus sheets until both reviewer sheets are complete.</t>
  </si>
  <si>
    <t>Consensus</t>
  </si>
  <si>
    <t>After independent completion, compare conflicts in the consensus sheets, resolve through discussion, and record the final decision and notes.</t>
  </si>
  <si>
    <t>Agreement reporting</t>
  </si>
  <si>
    <t>Use the Summary sheet to report completed rows, agreement, conflicts, observed agreement, and Cohen's kappa for eligibility decisions. Binary extracted fields can be summarized similarly.</t>
  </si>
  <si>
    <t>Important</t>
  </si>
  <si>
    <t>Do not infer full-text methodological quality from missing abstract information. Mark fields as NR when not explicitly visible in the abstract/metadata.</t>
  </si>
  <si>
    <t>Recommended workflow</t>
  </si>
  <si>
    <t>Reviewer 1 completes Eligibility_R1 for all 145 records.</t>
  </si>
  <si>
    <t>Reviewer 2 completes Eligibility_R2 for all 145 records.</t>
  </si>
  <si>
    <t>The team reviews Eligibility_Consensus and resolves conflicts.</t>
  </si>
  <si>
    <t>Reviewer 1 completes Extraction_R1 for all 35 included studies.</t>
  </si>
  <si>
    <t>Reviewer 2 completes Extraction_R2 for all 35 included studies.</t>
  </si>
  <si>
    <t>The team reviews Extraction_Consensus, resolves discrepancies, and freezes the final dataset.</t>
  </si>
  <si>
    <t>Regenerate all tables and figures from the final frozen dataset.</t>
  </si>
  <si>
    <t>Update Methods and Results with the agreement statistics and verification summary.</t>
  </si>
  <si>
    <t>Eligibility decisions</t>
  </si>
  <si>
    <t>Exclusion reasons</t>
  </si>
  <si>
    <t>Confidence</t>
  </si>
  <si>
    <t>Yes/No/NR</t>
  </si>
  <si>
    <t>Discrepancy types</t>
  </si>
  <si>
    <t>Model families</t>
  </si>
  <si>
    <t>Input modalities</t>
  </si>
  <si>
    <t>Study designs</t>
  </si>
  <si>
    <t>Include</t>
  </si>
  <si>
    <t>Not PE/HDP</t>
  </si>
  <si>
    <t>High</t>
  </si>
  <si>
    <t>Yes</t>
  </si>
  <si>
    <t>None</t>
  </si>
  <si>
    <t>Tree-based</t>
  </si>
  <si>
    <t>EHR/clinical</t>
  </si>
  <si>
    <t>prospective cohort</t>
  </si>
  <si>
    <t>Exclude</t>
  </si>
  <si>
    <t>Not ML/AI</t>
  </si>
  <si>
    <t>Medium</t>
  </si>
  <si>
    <t>No</t>
  </si>
  <si>
    <t>Eligibility</t>
  </si>
  <si>
    <t>Linear/GLM</t>
  </si>
  <si>
    <t>demographics</t>
  </si>
  <si>
    <t>retrospective cohort</t>
  </si>
  <si>
    <t>Unclear</t>
  </si>
  <si>
    <t>Traditional statistical model only</t>
  </si>
  <si>
    <t>Low</t>
  </si>
  <si>
    <t>NR</t>
  </si>
  <si>
    <t>Target</t>
  </si>
  <si>
    <t>SVM</t>
  </si>
  <si>
    <t>laboratory</t>
  </si>
  <si>
    <t>observational</t>
  </si>
  <si>
    <t>Not individual-level prediction</t>
  </si>
  <si>
    <t>Model family</t>
  </si>
  <si>
    <t>Neural Network</t>
  </si>
  <si>
    <t>vitals/BP</t>
  </si>
  <si>
    <t>case-control</t>
  </si>
  <si>
    <t>Operational/service-demand forecasting</t>
  </si>
  <si>
    <t>Named technique</t>
  </si>
  <si>
    <t>Naive Bayes</t>
  </si>
  <si>
    <t>ultrasound/Doppler</t>
  </si>
  <si>
    <t>cross-sectional</t>
  </si>
  <si>
    <t>Contextual review/guideline/methodological reference</t>
  </si>
  <si>
    <t>Input modality</t>
  </si>
  <si>
    <t>Ensemble/Stacking</t>
  </si>
  <si>
    <t>biomarkers</t>
  </si>
  <si>
    <t>clinical trial</t>
  </si>
  <si>
    <t>Abstract book/poster compilation</t>
  </si>
  <si>
    <t>Metric/AUC</t>
  </si>
  <si>
    <t>kNN</t>
  </si>
  <si>
    <t>genomics/omics</t>
  </si>
  <si>
    <t>Insufficient abstract-level evidence</t>
  </si>
  <si>
    <t>External validation</t>
  </si>
  <si>
    <t>Probabilistic/Bayesian</t>
  </si>
  <si>
    <t>imaging</t>
  </si>
  <si>
    <t>Other</t>
  </si>
  <si>
    <t>Duplicate/metadata problem</t>
  </si>
  <si>
    <t>Explainability</t>
  </si>
  <si>
    <t>Rule-based/EBM</t>
  </si>
  <si>
    <t>wearables</t>
  </si>
  <si>
    <t>Repository/data source</t>
  </si>
  <si>
    <t>Study design</t>
  </si>
  <si>
    <t>Country/setting</t>
  </si>
  <si>
    <t>Bibliographic/DOI</t>
  </si>
  <si>
    <t>Source</t>
  </si>
  <si>
    <t>Interface / source type</t>
  </si>
  <si>
    <t>Search or export execution date</t>
  </si>
  <si>
    <t>Records retrieved</t>
  </si>
  <si>
    <t>Notes</t>
  </si>
  <si>
    <t>ChatGPT-assisted snowballing</t>
  </si>
  <si>
    <t>Reference expansion / snowballing</t>
  </si>
  <si>
    <t>2025-08-18 22:32</t>
  </si>
  <si>
    <t>Folder creation/processing timestamp supplied by authors.</t>
  </si>
  <si>
    <t>ACM Digital Library</t>
  </si>
  <si>
    <t>ACM DL</t>
  </si>
  <si>
    <t>2025-08-26 00:41</t>
  </si>
  <si>
    <t>IEEE Xplore</t>
  </si>
  <si>
    <t>2025-08-26 00:40</t>
  </si>
  <si>
    <t>PubMed</t>
  </si>
  <si>
    <t>2025-08-26 09:42</t>
  </si>
  <si>
    <t>SpringerLink</t>
  </si>
  <si>
    <t>2025-10-16 00:07</t>
  </si>
  <si>
    <t>Elsevier / ScienceDirect</t>
  </si>
  <si>
    <t>2025-10-16 00:41</t>
  </si>
  <si>
    <t>Scopus</t>
  </si>
  <si>
    <t>2025-10-16 17:04</t>
  </si>
  <si>
    <t>EntryID</t>
  </si>
  <si>
    <t>EntryKey</t>
  </si>
  <si>
    <t>Year</t>
  </si>
  <si>
    <t>SourceDatabase</t>
  </si>
  <si>
    <t>DOI</t>
  </si>
  <si>
    <t>Title</t>
  </si>
  <si>
    <t>Abstract snippet</t>
  </si>
  <si>
    <t>Previous audit recommendation</t>
  </si>
  <si>
    <t>Reviewer decision</t>
  </si>
  <si>
    <t>Exclusion reason</t>
  </si>
  <si>
    <t>Full text consulted?</t>
  </si>
  <si>
    <t>DOI/Crossref issue?</t>
  </si>
  <si>
    <t>Reviewer initials</t>
  </si>
  <si>
    <t>Reviewer notes</t>
  </si>
  <si>
    <t>CE79306F-3704-44B4-9471-377BCDD623FC</t>
  </si>
  <si>
    <t>2013abstracts</t>
  </si>
  <si>
    <t>2013</t>
  </si>
  <si>
    <t>10.1007/s11606-013-2436-y</t>
  </si>
  <si>
    <t>Abstracts from the 36th Annual Meeting of the Society of General Internal Medicine</t>
  </si>
  <si>
    <t>Exclude/Context: Abstract book/proceedings collection/front matter rather than a standalone eligible study.</t>
  </si>
  <si>
    <t>LGF</t>
  </si>
  <si>
    <t>0AD8C755-FF32-4964-8AB7-420ABD739E3E</t>
  </si>
  <si>
    <t>2018abstract</t>
  </si>
  <si>
    <t>2018</t>
  </si>
  <si>
    <t>10.1002/rth2.12125</t>
  </si>
  <si>
    <t>Abstract</t>
  </si>
  <si>
    <t>Background: Preeclampsia (PE) remains a major cause of maternal mortality and morbidity worldwide with increased risk for cardiovascular disease later in life. Previous studies have examined several biomarkers including E-selectin. However this was not evaluated in the context of other previously reported markers.  Aims: We aimed to assess the role of sE-selectin together with platelet count and mean platelet volume (MPV) as biomarkers for the prediction of preeclampsia.  Methods: This case-control study included 85 pregnant women; 40 healthy (mean age 27.15±4.74 years) and 45 with preeclampsia (mean age 26.82±6.67 years), recruited at the third trimester of pregnancy and subjected to full clinical and laboratory testing. This included complete blood picture, urine analysis and plasma sE-s…</t>
  </si>
  <si>
    <t>8203BEED-4B26-4076-8B6B-6030D07B47D4</t>
  </si>
  <si>
    <t>2019abstracts</t>
  </si>
  <si>
    <t>2019</t>
  </si>
  <si>
    <t>10.1038/s41431-019-0404-7</t>
  </si>
  <si>
    <t>Abstracts from the 51st European Society of Human Genetics Conference: Posters</t>
  </si>
  <si>
    <t>Introduction: The atypical chemokine receptor 3 (ACKR3) is highly expressed in vascularized structures including the placenta and umbilical cord. Aberrant expression of ACKR3/ligands resulting in dysregulation of trophoblast-endometrial interaction has been implicated in recurrent pregnancy loss, intrauterine growth restriction, preterm labor, and preeclampsia. Copy number variations (CNV’s) overlapping with ACKR3 have been documented in patients with variable findings including neurodevelopmental defects (NDD’s), and in 0.01% of the healthy population (DGV). No CNV’s involving ACKR3 have been reported in pregnancy loss. Here we present our novel data from our retrospective chromosome microarray analysis (CMA) associating duplications of ACKR3 with spontaneous abortions (SAB’s) and intraut…</t>
  </si>
  <si>
    <t>29C65A30-C8C2-4066-8176-CCC7C3726DD1</t>
  </si>
  <si>
    <t>2019e</t>
  </si>
  <si>
    <t>10.1177/2396987319845581</t>
  </si>
  <si>
    <t>E-Poster Viewing</t>
  </si>
  <si>
    <t>Background and Aims: Patients with a stroke at a young age are for largely unknown reasons at an increased risk of small vessel disease (SVD). Hypertensive disorders of pregnancy (HDP) are associated with SVD in the general population. We aimed to investigate whether patients with young stroke/TIA and a history of HDP have higher risk of SVD when compared to controls and patients without HDP.  Methods: Prospective cohort study (1980–2010) with 132 female young stroke/TIA patients (18–50years) and 28 controls with at least one pregnancy. 36 Patients suffered from HDP and 96 did not. All underwent MRI and assessment of HDP (preeclampsia, gestational hypertension, HELLP-syndrome) at follow-up 2009–2012. White matter hyperintensity (WMH)-severity (Fazekas scale), WMH-volume, lacunes and microb…</t>
  </si>
  <si>
    <t>059D808C-71A8-4661-8F93-FAB50A4555D6</t>
  </si>
  <si>
    <t>202056th</t>
  </si>
  <si>
    <t>2020</t>
  </si>
  <si>
    <t>10.1007/s00125-020-05221-5</t>
  </si>
  <si>
    <t>56th EASD Annual Meeting of the European Association for the Study of Diabetes</t>
  </si>
  <si>
    <t>1FDDCBB3-B64D-4684-BF57-33D0D23C5259</t>
  </si>
  <si>
    <t>202140th</t>
  </si>
  <si>
    <t>2021</t>
  </si>
  <si>
    <t>10.1186/s13054-021-03769-1</t>
  </si>
  <si>
    <t>40th International Symposium on Intensive Care \&amp;amp; Emergency Medicine 2021</t>
  </si>
  <si>
    <t>Introduction:International studies demonstrate an annual increase in the frequency and impact of sepsis in intensive care units (ICU).Dysregulation of blood pressure makes a significant contribution during sepsis, especially septic shock.Angiotensin II receptor type 1 (AGTR1) affects the condition of the vessel wall and arteriolar tone.The AGTR1 gene encodes angiotensin II receptor type 1, which is involved in cardiovascular diseases.AGTR1 rs275651 AA genotype is associated with unstable angina.So, the aim of our study was to define the contribution of AGTR1 rs275651 genotypes to the course and outcomes of critical illness, complicated with sepsis.Methods: Study cohort included 145 ICU patients diagnosed with sepsis.60% of patients underwent surgery, and 42% were diagnosed with diabetes as…</t>
  </si>
  <si>
    <t>5C083646-DA6A-420D-B449-0A481EA0C1FC</t>
  </si>
  <si>
    <t>2021main</t>
  </si>
  <si>
    <t>10.1177/23969873211034932</t>
  </si>
  <si>
    <t>Main Abstracts</t>
  </si>
  <si>
    <t>Background and Aims: The COVID-19 epidemic puts stress on healthcare systems worldwide. This study aims to illustrate the impact of the COVID-19 epidemic on Dutch acute stroke care in 2020. Methods: Patients with acute ischemic stroke (AIS) registered in the Dutch Acute Stroke Audit since 2015 were included (n=192758). The first and second surge of the COVID-19 epidemic were compared to corresponding periods in 2019;variables were checked on occurring trends since 2015. Results: There were 9% fewer AIS-admissions during the first surge (5682 vs. 6256 p&lt;0.001) and 2% fewer admissions during the second surge (8426 vs. 8600 p 0.185) compared to the reference periods. The percentage of patients treated with intravenous thrombolysis declined (first surge: -0.2%;second: -0.9%), while the percent…</t>
  </si>
  <si>
    <t>17DDBE5F-4BDC-40C9-91B5-1E52867588B8</t>
  </si>
  <si>
    <t>2022</t>
  </si>
  <si>
    <t>Springerlink</t>
  </si>
  <si>
    <t>10.1007/s00210-022-02205-7</t>
  </si>
  <si>
    <t>Abstracts of the 88th Annual Meeting of the German Society for Experimental and Clinical Pharmacology and Toxicology (DGPT)</t>
  </si>
  <si>
    <t>53BA983C-4A6C-4A23-BACB-82637BD5E31A</t>
  </si>
  <si>
    <t>202258th</t>
  </si>
  <si>
    <t>10.1007/s00125-022-05755-w</t>
  </si>
  <si>
    <t>58th EASD Annual Meeting of the European Association for the Study of Diabetes</t>
  </si>
  <si>
    <t>Background and aims: One of the major causes of mortality in type 2 diabetes (T2D) is cardiovascular disease (CVD). Endothelial dysfunction (ED) is an early sign of atherosclerosis which is present before overt clinical CVD. In non-diabetic subjects, low-carbohydrate diets (LCDs) have been demonstrated to improve vasodilatory reactivity in the endothelium, but in T2D patients, the effect of a LCD on measures of ED is mixed. The aim of this study was to examine the effect of a non-calorie-restricted LCD high in fat for six months on measures of ED in T2D. Materials and methods: Patients with T2D were randomized 2:1 to either a LCD with a max. of 20 E% (percentage of total energy intake) from carbohydrates and min. 50 E% from fat (n = 49) or a control diet with 50-60 E% from carbohydrates (n…</t>
  </si>
  <si>
    <t>394336C9-BA2F-4CEE-A0D5-7FE35DF7D4F9</t>
  </si>
  <si>
    <t>2022abstract</t>
  </si>
  <si>
    <t>10.1002/rth2.12788</t>
  </si>
  <si>
    <t>Background: Venoarterial Extracorporeal Membrane Oxygenation (VA-ECMO) ensures a stable hemodynamic state in patients with life-threatening cardiac failure. Although it requires anticoagulation therapy for prevention of thrombotic events, several ECMO intrinsic mechanisms result in the development of Acquired von Willebrand disease (AvWD) and platelet dysfunction, with an increased bleeding tendency.  Aims: To report the case of a patient under VA-ECMO with AvWD associated bleeding.  Methods: A 54-year-old female, with several cardiovascular comorbidities, received VA-ECMO support after an ST-elevation myocardial infarction, Killip Class IV. While on a heart transplant waiting list, unfractionated heparin (UFH) was administered with minimal bleeding. During transplant surgery she required …</t>
  </si>
  <si>
    <t>640264F7-A17C-4AB0-AC84-8E4C78DF53D5</t>
  </si>
  <si>
    <t>10.1097/01.hs9.0000852292.38263.b8</t>
  </si>
  <si>
    <t>Abstract Book for the 27th Congress of the European Hematology Association</t>
  </si>
  <si>
    <t>Background: Preeclampsia is a progressive multi systemic disorder, characterized by either proteinuria or critical organ damage in addition to new-onset hypertension. Although ADAMTS13 (A Disintegrin And Metalloprotease with ThromboSpondin type 1 repeats) and the complement system have been implicated in the pathogenesis of the disease, there are currently no specific biomarkers for diagnosis and severity prediction of preeclampsia.  Aims: We investigated whether ADAMTS13 and the complement system could play a role in the development of preeclampsia.  Methods: We studied consecutive preeclamptic and control pregnant women of similar age and gestational weeks that provided a written informed consent. Preeclampsia was diagnosed according to American College of Obstetricians and Gynaecologist…</t>
  </si>
  <si>
    <t>AA6577EA-EFFC-4D3D-AE29-372FC244C7E4</t>
  </si>
  <si>
    <t>2022abstracts</t>
  </si>
  <si>
    <t>10.1038/s41431-021-01026-1</t>
  </si>
  <si>
    <t>Abstracts from the 54th European Society of Human Genetics (ESHG) Conference: e-Posters</t>
  </si>
  <si>
    <t>Materials and Methods: In our study, 396 infertile men referred to Istanbul University- Cerrahpasa, Cerrahpasa Medical Faculty Department of Medical Genetics (GETAM) between 2016 to 2020 with azoospermia/severe oligospermia. We evaluated microdeletions of the Y-chromosome STS markers AZFa, AZFb and AZFc, ZFX/ZFY, terminal sY160 regions by using DNA Fragment analysis.  Results: Among the 396 infertile men, we determined 30 cases of Y chromosome micro- deletions (7.57%). Among 30 cases, AZFc microdeletions were found in 18 cases (60%), AZFa microdeletions in 4 cases (13.3%), AZFb microdeletions in 1 case (3.3%), AZFa,b,c in 4 cases (13.3%), AZFb,c in 3 cases (10%). Our findings are consistent with the literature.  Conclusion: Our results are similar to the previous studies which have mostly …</t>
  </si>
  <si>
    <t>EA952786-83C4-404F-8C17-EDBBB3C4ABD1</t>
  </si>
  <si>
    <t>2023</t>
  </si>
  <si>
    <t>Elsevier</t>
  </si>
  <si>
    <t>10.1016/s2213-1779(23)00460-2</t>
  </si>
  <si>
    <t>Full Issue PDF</t>
  </si>
  <si>
    <t>Heart failure and cardiomyopathy are significant contributors to pregnancy-related deaths, as maternal morbidity and mortality have been increasing over time. In this setting, the role of the multidisciplinary cardio-obstetrics team is crucial to optimizing maternal, obstetrical and fetal outcomes. Although peripartum cardiomyopathy is the most common cardiomyopathy experienced by pregnant individuals, the hemodynamic changes of pregnancy may unmask a pre-existing cardiomyopathy leading to clinical decompensation. Additionally, there are unique management considerations for women with pre-existing cardiomyopathy as well as for those women with advanced heart failure who may be on left ventricular assist device support or have undergone heart transplantation. The purpose of this review is t…</t>
  </si>
  <si>
    <t>8D6526FB-61D3-4F39-ADB0-648EDEF127FF</t>
  </si>
  <si>
    <t>2023abstracts</t>
  </si>
  <si>
    <t>10.1007/s11606-023-08226-z</t>
  </si>
  <si>
    <t>Abstracts from the 2023 Annual Meeting of the Society of General Internal Medicine</t>
  </si>
  <si>
    <t>BACKGROUND: There is limited data on the admission vital signs and clinical laboratory values that are associated with patient discharge status [i.e., home, skilled nursing facility (SNF), or death]. Such information is particularly important in diverse ethnic/racial groups since data for the United States and the State of New Mexico illustrate substantially higher rates of hospitalization in American Indians/Alaska Natives (AI/AN). To foster improved preemptive care for future patients, we determined the impact of admission characteristics on disposition status in three hospitalized groups [AI/AN, Hispanic, and Non- Hispanic Whites (NHW)] at the University of New Mexico Hospital (UNMH).  METHODS: A retrospective observational study was conducted on COVID-19 patients (n=1,309) admitted to …</t>
  </si>
  <si>
    <t>B409A599-F527-4911-8ECD-8000DE6CC8E7</t>
  </si>
  <si>
    <t>202410th</t>
  </si>
  <si>
    <t>2024</t>
  </si>
  <si>
    <t>10.1177/23969873241245672</t>
  </si>
  <si>
    <t>10th European Stroke Organisation Conference Abstracts -- 15-17 May 2024, Basel, Switzerland</t>
  </si>
  <si>
    <t>Background and aims: Intracranial atherosclerotic stenosis (ICAS) could cause an ischemic stroke via various mechanisms. We aimed to explore the associations between plaque morphology and stroke mechanisms in symptomatic ICAS.  Methods: We prospectively enrolled patients with acute ischemic stroke due to high-grade ICAS (60%-99%) in anterior circulation identified in three-dimensional rotational angiography (3DRA). The probable stroke mechanisms were classified into parent artery atherosclerosis occluding penetrating artery (PAO), artery-to-artery embolism (AAE), hypoperfusion and mixed mechanisms. Plaque morphology was assessed in 3DRA, including luminal stenosis, plaque thickness/length, upstream shoulder angulation, plaque eccentricity, surface contour, longitudinal plaque distribution …</t>
  </si>
  <si>
    <t>A3D1AE1F-AED5-4B7E-948A-0A654012F6B0</t>
  </si>
  <si>
    <t>2024abstracts</t>
  </si>
  <si>
    <t>10.1038/s41431-023-01481-y</t>
  </si>
  <si>
    <t>Abstracts from the 56th European Society of Human Genetics (ESHG) Conference: e-Posters</t>
  </si>
  <si>
    <t>Background: Preeclampsia is a pregnancy-specific disease related to hypertension and proteinuria, and it is one of the important reasons for the high prevalence and fatality rate of pregnant women and perinatal children. Preeclampsia has genetic correlation. Many studies have shown that microRNA polymorphism is highly associated with preeclampsia, but the results are inconsistent. The purpose of this study is to evaluate the relationship between miRNA polymorphisms and preeclampsia.  Methods: Using PRISMA statement, 6 studies were included in meta-analysis of (rs2910164) and (rs2292832) associations with preeclampsia. The subjects are case-control studies on the relationship between miRNA polymorphisms and preeclampsia. The data of the included study are extracted and the literature qualit…</t>
  </si>
  <si>
    <t>Manual check: Issue-level/e-poster compilation contains an ML-related PE genetics fragment, but not a standalone article record; should be excluded unless individual abstract is separated and cited.</t>
  </si>
  <si>
    <t xml:space="preserve">Manual </t>
  </si>
  <si>
    <t>D9D048E8-36F5-4442-B3B4-8553FFB93EED</t>
  </si>
  <si>
    <t>10.1007/s11606-024-08797-5</t>
  </si>
  <si>
    <t>Abstracts from the 2024 Annual Meeting of the Society of General Internal Medicine</t>
  </si>
  <si>
    <t>79FD5098-15EC-44A7-986B-A13B63DBA698</t>
  </si>
  <si>
    <t>2024annual</t>
  </si>
  <si>
    <t>10.1002/hem3.70021</t>
  </si>
  <si>
    <t>Annual Sickle Cell \&amp;amp; Thalassaemia Conference (ASCAT)  October 2023</t>
  </si>
  <si>
    <t>Background: Exagamglogene autotemcel (exa-cel) is a one-time non-viral cell therapy designed to reactivate fetal hemoglobin (HbF) via ex vivo CRISPR/Cas9 gene-editing at the erythroid enhancer region of BCL11A in autologous CD34+ hematopoietic stem and progenitor cells.  Aims: Evaluate efficacy and safety of exa-cel in patients (pts) with transfusion-dependent ß-thalassemia (TDT) in a pre-specified interim analysis of the CLIMB THAL-111 trial.  Methods: CLIMB THAL-111 is an ongoing phase 3 trial of exa-cel in pts age 12–35 y with TDT and a history of =100?mL/kg/y or =10?U/y of packed red blood cell (RBC) transfusions 2?y before screening. Primary and key secondary efficacy endpoints are proportion of pts who maintain a weighted average hemoglobin (Hb) =9g/dL without RBC transfusion for =12…</t>
  </si>
  <si>
    <t>A23A9FA8-8B90-4492-A611-6761E9CCC51C</t>
  </si>
  <si>
    <t>2024atc</t>
  </si>
  <si>
    <t>10.1016/j.ajt.2024.05.008</t>
  </si>
  <si>
    <t>ATC 2024 Poster Abstracts</t>
  </si>
  <si>
    <t>Purpose: This study aimed to evaluate graft function in pregnant women following liver and kidney transplantation. Methods: A retrospective observational review was conducted of medical records from women who underwent liver or renal transplants and became pregnant between January 2017 and January 2022 at a tertiary care center in Saudi Arabia. Data included graft function markers (AST, ALT, albumin, creatinine, and eGFR) before pregnancy, during pre-labor, and postpartum, alongside maternal complications and transplant details. Results: Forty patients with 55 pregnancies were analyzed (mean maternal age: 28.3 ± 5.2 years). Liver transplants accounted for 70% and kidney transplants for 30% of cases, with 80% being from living donors. Pre-pregnancy labs were largely unremarkable aside from …</t>
  </si>
  <si>
    <t>6D3B0E94-B044-4B94-A69D-D3C8FBAB9EEF</t>
  </si>
  <si>
    <t>2024index</t>
  </si>
  <si>
    <t>10.1016/b978-0-323-88369-6.09991-6</t>
  </si>
  <si>
    <t>Index</t>
  </si>
  <si>
    <t>Hypertensive disorders are the most common medical conditions during pregnancy and are a leading cause of maternal and perinatal morbidity and mortality worldwide. Hypertension complicates 6% to 10% of pregnancies and, of 4 million women giving birth in the United States each year, an estimated 240,000 are affected by hypertension. Of concern, hypertension is the most important risk factor for stroke, and there has been an overall rise in the incidence of pregnancy-related stroke and subsequent morbidity in the past 20 years. Although maternal mortality rates are considerably lower in developed nations compared with developing nations, hypertension still accounts for 15% of maternal deaths in the United States, mostly as a result of intracerebral hemorrhage. Although the obstetrician manag…</t>
  </si>
  <si>
    <t>70BB9E37-D717-4253-AD0B-1A3180B48E0D</t>
  </si>
  <si>
    <t>2025espghan</t>
  </si>
  <si>
    <t>2025</t>
  </si>
  <si>
    <t>10.1002/jpr3.70024</t>
  </si>
  <si>
    <t>ESPGHAN 57th Annual Meeting Abstracts</t>
  </si>
  <si>
    <t>Objectives and Study: Objectives: Patients with Celiac disease (CeD) have an increased risk of developing other autoimmune diseases (ADs), however risk factors and predictors for ADs remain unclear. The study objective is to assess predictors for development of ADs among pediatric onset CeD patients.  Methods: The study included pediatric onset CeD patients, evaluated at Emek Medical Center, and followed for at least 2 years from April 2008 to April 2022. Data were collected from medical records, and included baseline and follow-up data of demographics, clinical manifestations, laboratory variables, and subsequent development of ADs.  Results: 930 children with CeD were included, 790 fulfilled inclusion criteria. Patients were followed for a median of 4.9 years (range 2-16 years). During f…</t>
  </si>
  <si>
    <t>F4F37930-4A9E-46BF-9D5F-F0B92D5F66C8</t>
  </si>
  <si>
    <t>addad_2023</t>
  </si>
  <si>
    <t>10.1186/s12959-023-00564-6</t>
  </si>
  <si>
    <t>A comprehensive model for assessing and classifying patients with thrombotic microangiopathy: the TMA-INSIGHT score</t>
  </si>
  <si>
    <t>Background: Thrombotic Microangiopathy (TMA) is a syndrome characterized by the presence of anemia, thrombocytopenia and organ damage and has multiple etiologies. The primary aim is to develop an algorithm to classify TMA (TMA-INSIGHT score). Methods: This was a single-center retrospective cohort study including hospitalized patients with TMA at a single center. We included all consecutive patients diagnosed with TMA between 2012 and 2021. TMA was defined based on the presence of anemia (hemoglobin level \textless 10 g/dL) and thrombocytopenia (platelet count \textless 150,000/µL), signs of hemolysis, and organ damage. We classified patients in eight categories: infections; Malignant Hypertension; Transplant; Malignancy; Pregnancy; Thrombotic Thrombocytopenic Purpura (TTP); Shiga toxin-med…</t>
  </si>
  <si>
    <t>Exclude/Context: Audit note indicates the record is not a PE/HDP-specific ML prediction study.</t>
  </si>
  <si>
    <t>A709722D-7716-42ED-9B85-AA3CF4ECE8F1</t>
  </si>
  <si>
    <t>alam_2024</t>
  </si>
  <si>
    <t>10.3390/clinpract14040109</t>
  </si>
  <si>
    <t>Transforming Healthcare: The AI Revolution in the Comprehensive Care of Hypertension</t>
  </si>
  <si>
    <t>This review explores the transformative role of artificial intelligence (AI) in hypertension care, summarizing and analyzing published works from the last three years in this field. Hypertension contributes to a significant healthcare burden both at an individual and global level. We focus on five key areas: risk prediction, diagnosis, education, monitoring, and management of hypertension, supplemented with a brief look into the works on hypertensive disease of pregnancy. For each area, we discuss the advantages and disadvantages of integrating AI. While AI, in its current rudimentary form, cannot replace sound clinical judgment, it can still enhance faster diagnosis, education, prevention, and management. The integration of AI in healthcare is poised to revolutionize hypertension care, al…</t>
  </si>
  <si>
    <t>Exclude/Context: Review/guideline/commentary/background article; use as context, not as a primary study in RQ denominators.</t>
  </si>
  <si>
    <t>EF8132E9-8022-4C39-817B-F3E7181D095D</t>
  </si>
  <si>
    <t>alghamdi_2025</t>
  </si>
  <si>
    <t>10.1007/s43995-025-00118-z</t>
  </si>
  <si>
    <t>Proactive healthcare: machine learning-driven insights into kidney failure prediction</t>
  </si>
  <si>
    <t>Kidney failure, a critical condition with increasing prevalence, necessitates early detection and management to mitigate its severe health impacts. In this study, we utilize the MIMIC-IV dataset to develop predictive models for identifying and forecasting kidney failure using advanced machine learning techniques. We aggregated medical records from patients diagnosed with kidney failure, alongside an equivalent dataset from non-kidney failure individuals, to train LSTM, random forest, and XGBoost models. Comprehensive data analysis was conducted to extract and evaluate key features related to kidney function, including correlations among lab events, prescriptions, and patient demographics. These insights informed the model development, enabling accurate classification of kidney failure base…</t>
  </si>
  <si>
    <t>7B5E6FC1-0D92-477D-984F-FE5756D764EE</t>
  </si>
  <si>
    <t>amoaku_2020</t>
  </si>
  <si>
    <t>10.1038/s41433-020-0961-6</t>
  </si>
  <si>
    <t>Diabetic retinopathy and diabetic macular oedema pathways and management: UK Consensus Working Group</t>
  </si>
  <si>
    <t>The management of diabetic retinopathy (DR) has evolved considerably over the past decade, with the availability of new technologies (diagnostic and therapeutic). As such, the existing Royal College of Ophthalmologists DR Guidelines (2013) are outdated, and to the best of our knowledge are not under revision at present. Furthermore, there are no other UK guidelines covering all available treatments, and there seems to be significant variation around the UK in the management of diabetic macular oedema (DMO). This manuscript provides a summary of reviews the pathogenesis of DR and DMO, including role of vascular endothelial growth factor (VEGF) and non-VEGF cytokines, clinical grading/classification of DMO vis a vis current terminology (of centre-involving [CI-DMO], or non-centre involving […</t>
  </si>
  <si>
    <t>7D4FB266-0443-44C3-8BD5-E03B701315C1</t>
  </si>
  <si>
    <t>andreychenko_2023</t>
  </si>
  <si>
    <t>10.18565/aig.2023.101</t>
  </si>
  <si>
    <t>Development and Validation of Models To Predict Total and Early-Onset Preeclampsia in the First Trimester of Pregnancy Using Machine Learning Algorithms</t>
  </si>
  <si>
    <t>Background: Preeclampsia (PE) is a life-threatening and difficult-to-predict complication of pregnancy, characterized by multi-organ dysfunction. PE affects 2–8\% of all pregnancies and is one of the leading causes of perinatal and maternal mortality, especially in cases of early onset PE. Objective: To develop models for predicting total and early onset PE in the first trimester of pregnancy using machine learning (ML) technologies based on real-world clinical data. Materials and methods: We analyzed 21,092 records obtained from electronic medical records through the Webiomed platform, corresponding to 12,434 unique pregnancies of 12,283 women aged 11 to 60 years, up to 16 weeks. Anamnestic, constitutional, clinical, instrumental, and laboratory data, commonly used in routine medical prac…</t>
  </si>
  <si>
    <t>Include: Include: primary ML/AI or prediction-model study for preeclampsia identifiable from title/abstract.</t>
  </si>
  <si>
    <t>8FB0FB63-2BF2-44A7-938A-42AB1FE37806</t>
  </si>
  <si>
    <t>aruna2024</t>
  </si>
  <si>
    <t>IEEE</t>
  </si>
  <si>
    <t>10.1109/icesic61777.2024.10846126</t>
  </si>
  <si>
    <t>Emerging Trends and Obstacles in Predicting Preeclampsia: A Comprehensive Review of Machine Learning and Deep Learning Techniques</t>
  </si>
  <si>
    <t>Preeclampsia, a serious hypertension condition during pregnancy, presents considerable hazards to both mother and fetal health, potentially resulting in catastrophic consequences if not promptly identified. Conventional diagnostic techniques depend on clinical evaluations and biomarkers, which may not consistently provide prompt or precise predictions. Recently, deep learning algorithms have emerged as potent instruments for studying intricate, high-dimensional data, potentially improving illness prediction by uncovering patterns and features overlooked by traditional methods. Recent research reveals the advancement of several machine learning and deep learning models for predicting preeclampsia from 2021 to 2024, employing a wide array of input data, including maternal demographics, clini…</t>
  </si>
  <si>
    <t>37A9303C-E9A2-487F-834C-F082CF4A7ECD</t>
  </si>
  <si>
    <t>asadi2023</t>
  </si>
  <si>
    <t>10.1109/icitda60835.2023.10426919</t>
  </si>
  <si>
    <t>Database Design for Pre-Eclampsia Case Administration</t>
  </si>
  <si>
    <t>The Ministry of Health of Indonesia has referred to pre-eclampsia as one of the most severe diseases affecting women. As an urgency, it is crucial to administrate pre-eclampsia cases for disease prevention as a long-term national healthcare strategy. Regarding health science, case data was significant in developing research and innovation. However, the main problem regarding pre-eclampsia case administration is data handling, recording, and management incompetence. Hence, this research proposed a conceptual design of a database for pre-eclampsia case administration. The proposed design covered conceptual, logical, and physical design. We elaborate the concept into three concepts of pre-eclampsia disease: pre-treatment, treatment, and post-treatment. This study proposed a solution to gain m…</t>
  </si>
  <si>
    <t>Exclude/Context: Database design/case administration paper; no prediction model.</t>
  </si>
  <si>
    <t>7D5CDC96-0F3B-475F-92D7-6D165498CC95</t>
  </si>
  <si>
    <t>azizi_2023</t>
  </si>
  <si>
    <t>10.1007/s12170-023-00728-z</t>
  </si>
  <si>
    <t>Leveraging Digital Health to Improve the Cardiovascular Health of Women</t>
  </si>
  <si>
    <t>Purpose of Review: In this review, we present a comprehensive discussion on the population-level implications of digital health interventions (DHIs) to improve cardiovascular health (CVH) through sex- and gender-specific prevention strategies among women. Recent Findings: Over the past 30 years, there have been significant advancements in the diagnosis and treatment of cardiovascular diseases, a leading cause of morbidity and mortality among men and women worldwide. However, women are often underdiagnosed, undertreated, and underrepresented in cardiovascular clinical trials, which all contribute to disparities within this population. One approach to address this is through DHIs, particularly among racial and ethnic minoritized groups. Implementation of telemedicine has shown promise in inc…</t>
  </si>
  <si>
    <t>FA2FF4A4-FB46-4525-A4AD-04AEEB493CAD</t>
  </si>
  <si>
    <t>badriyah2018</t>
  </si>
  <si>
    <t>10.1109/icast1.2018.8751588</t>
  </si>
  <si>
    <t>Predicting The Risk of Preeclampsia with History of Hypertension Using Logistic Regression and Naive Bayes</t>
  </si>
  <si>
    <t>The causes of maternal and infant mortality are high, especially in developing countries other than bleeding, namely preeclampsia because mild preeclampsia increases more sharply than severe preeclampsia. The incidence of preeclampsia varies in each country even in every region. The purpose of this study was to compare two methods in data mining techniques, namely the Logistic Regression method and the Naive Bayes method, to predict the risk level of Preeclampsia on the seventeen existing attributes data. The data obtained in this study were 239 preeclampsia patients who were obtained from Surabaya General Hajj Hospital, by collecting data from 2016 to 2017. This study used performance measurement of the two methods using score with the ROC curve (Receiver Operating Characteristics). In th…</t>
  </si>
  <si>
    <t>142F34D3-9E4C-462C-B790-0347F00B4AE8</t>
  </si>
  <si>
    <t>ballard_2024</t>
  </si>
  <si>
    <t>10.2196/48997</t>
  </si>
  <si>
    <t>Five-Feature Models to Predict Preeclampsia Onset Time From Electronic Health Record Data: Development and Validation Study</t>
  </si>
  <si>
    <t>Background: Preeclampsia is a potentially fatal complication during pregnancy, characterized by high blood pressure and the presence of excessive proteins in the urine. Due to its complexity, the prediction of preeclampsia onset is often difficult and inaccurate. Objective: This study aimed to create quantitative models to predict the onset gestational age of preeclampsia using electronic health records. Methods: We retrospectively collected 1178 preeclamptic pregnancy records from the University of Michigan Health System as the discovery cohort, and 881 records from the University of Florida Health System as the validation cohort. We constructed 2 Cox-proportional hazards models: 1 baseline model using maternal and pregnancy characteristics, and the other full model with additional labora…</t>
  </si>
  <si>
    <t>9506ED7E-FAF7-4398-BEAE-0D7D888ED92C</t>
  </si>
  <si>
    <t>banaei_2025</t>
  </si>
  <si>
    <t>10.1016/j.xagr.2024.100420</t>
  </si>
  <si>
    <t>Utilizing machine learning to predict the risk factors of episiotomy in parturient women</t>
  </si>
  <si>
    <t>Background: Episiotomy has specific indications that, if properly followed, can effectively prevent women from experiencing severe lacerations that may result in significant complications like anal incontinence. However, the risk factors related to episiotomy has been the center of much debate in the medical field in the past few years. Objective: The present study used a machine learning model to predict the factors that put women at the risk of having episiotomy using intrapartum data. Study design: This was a retrospective cohort study design. Factors such as age, educational level, residency place, medical insurance, nationality, attendance at prenatal education courses, parity, gestational age, onset of labor, presence of a doula during labor, maternal health conditions like anemia, d…</t>
  </si>
  <si>
    <t>83C714F8-C131-4634-827D-6455B2E2F94A</t>
  </si>
  <si>
    <t>bartsch2016</t>
  </si>
  <si>
    <t>2016</t>
  </si>
  <si>
    <t>Snowballing</t>
  </si>
  <si>
    <t>10.1136/bmj.i1753</t>
  </si>
  <si>
    <t>Clinical risk factors for pre-eclampsia determined in early pregnancy: systematic review and meta-analysis of large cohort studies</t>
  </si>
  <si>
    <t>This systematic review and meta-analysis aimed to develop an evidence-based list of clinical risk factors identifiable by clinicians at =16 weeks’ gestation to estimate a woman’s risk of developing pre-eclampsia. Data from 92 cohort studies encompassing 25,356,688 pregnancies (2000–2015) were analyzed. Fourteen common and clinically assessable risk factors were evaluated for their association with pre-eclampsia. The highest pooled event rates were observed among women with antiphospholipid antibody syndrome (17.3%) and chronic hypertension (16.0%), while those with prior pre-eclampsia had the greatest pooled relative risk (8.4, 95% CI 7.1–9.9). Other major risk factors included pregestational diabetes (RR 3.7), obesity (BMI &gt;30; RR 2.8), and conception via assisted reproductive technology …</t>
  </si>
  <si>
    <t>3B96746E-B95B-4DA0-B3C7-B07B92BDB23A</t>
  </si>
  <si>
    <t>bertini_2022</t>
  </si>
  <si>
    <t>10.3389/fbioe.2021.780389</t>
  </si>
  <si>
    <t>Using Machine Learning to Predict Complications in Pregnancy: A Systematic Review</t>
  </si>
  <si>
    <t>Introduction: Artificial intelligence is widely used in medical field, and machine learning has been increasingly used in health care, prediction, and diagnosis and as a method of determining priority. Machine learning methods have been features of several tools in the fields of obstetrics and childcare. This present review aims to summarize the machine learning techniques to predict perinatal complications.Objective: To identify the applicability and performance of machine learning methods used to identify pregnancy complications.Methods: A total of 98 articles were obtained with the keywords “machine learning,” “deep learning,” “artificial intelligence,” and accordingly as they related to perinatal complications (“complications in pregnancy,” “pregnancy complications”) from three scienti…</t>
  </si>
  <si>
    <t>E8639E20-13B6-47B6-808D-622197E60EFB</t>
  </si>
  <si>
    <t>brown2018</t>
  </si>
  <si>
    <t>10.1161/HYPERTENSIONAHA.117.10803</t>
  </si>
  <si>
    <t>The ISSHP Classification, Diagnosis \&amp; Management of the Hypertensive Disorders of Pregnancy</t>
  </si>
  <si>
    <t>These International Society for the Study of Hypertension in Pregnancy (ISSHP) recommendations provide evidence-based and expert consensus guidance for the classification, diagnosis, prediction, prevention, and management of hypertension in pregnancy. The document emphasizes that hypertension may be chronic (preexisting or diagnosed before 20 weeks) or de novo (gestational hypertension or preeclampsia). Preeclampsia is identified as a major global cause of maternal and perinatal morbidity and mortality, affecting more than 70,000 mothers and 500,000 infants annually. Diagnosis is based on new-onset hypertension after 20 weeks with proteinuria and/or signs of maternal organ dysfunction or fetal growth restriction, and the syndrome should not be classified as mild or severe due to its unpred…</t>
  </si>
  <si>
    <t>95E6DD47-FD9E-428C-B2FE-99C7D1775559</t>
  </si>
  <si>
    <t>brownfoot_2024</t>
  </si>
  <si>
    <t>10.1016/j.bpobgyn.2024.102481</t>
  </si>
  <si>
    <t>Prevention of preeclampsia</t>
  </si>
  <si>
    <t>Preeclampsia is a relatively common pregnancy complication and constitutes a major cause of morbidity and mortality for mothers and children worldwide. It disproportionally affects low-resource countries. Appropriate identification of individuals at increased risk and prevention of the disease and its complications remain healthcare and research priorities, and the investigation of potential interventions to prevent preeclampsia has driven much of the obstetric research in recent decades. In this article, we review the scientific literature on the topic, highlighting established benefits and remaining questions regarding different non-pharmacological and pharmacological strategies, including exercise, the timing of birth, aspirin and calcium use, among others, as well as potential novel th…</t>
  </si>
  <si>
    <t>6CF16168-DE4A-48AB-8CEE-0ADE17C6787C</t>
  </si>
  <si>
    <t>bukowski_2021</t>
  </si>
  <si>
    <t>10.1016/j.ajog.2020.08.057</t>
  </si>
  <si>
    <t>Computational medicine, present and the future: obstetrics and gynecology perspective</t>
  </si>
  <si>
    <t>Medicine fundamentally involves decision making under uncertainty, historically guided by clinical expertise and, more recently, by evidence-based medicine. However, traditional approaches face limitations due to the complex, highly interactive nature of biological and healthcare systems—characterized by redundancy, robustness, and equifinality (multiple pathways leading to the same outcome). These properties necessitate individualized approaches to medical care and decision making. Computational models—whether theory-based, data-driven, or hybrid—are well suited for capturing the dynamics of complex systems, enabling personalized medicine. By leveraging data to simulate and predict individualized outcomes, computational modeling supports targeted testing and treatment decisions that maxim…</t>
  </si>
  <si>
    <t>936AADDB-B5CA-4868-BF17-597C4704ACA2</t>
  </si>
  <si>
    <t>butler_2024</t>
  </si>
  <si>
    <t>10.3389/fcvm.2024.1360238</t>
  </si>
  <si>
    <t>AI-based preeclampsia detection and prediction with electrocardiogram data</t>
  </si>
  <si>
    <t>Introduction: More than 76,000 women die yearly from preeclampsia and hypertensive disorders of pregnancy. Early diagnosis and management of preeclampsia can improve outcomes for both mother and baby. In this study, we developed artificial intelligence models to detect and predict preeclampsia from electrocardiograms (ECGs) in point-of-care settings. Methods: Ten-second 12-lead ECG data was obtained from two large health care settings: University of Tennessee Health Science Center (UTHSC) and Atrium Health Wake Forest Baptist (AHWFB). UTHSC data was split into 80\% training and 20\% holdout data. The model used a modified ResNet convolutional neural network, taking one-dimensional raw ECG signals comprising 12 channels as an input, to predict risk of preeclampsia. Sub-analyses were perform…</t>
  </si>
  <si>
    <t>Study uses electrocardiogram which can be uncommon for ecuadorian practice</t>
  </si>
  <si>
    <t>6020B617-58DF-4805-BE5F-5E9AA4ECD681</t>
  </si>
  <si>
    <t>carreno2020</t>
  </si>
  <si>
    <t>10.1109/bibm49941.2020.9313108</t>
  </si>
  <si>
    <t>Feature selection algorithms for predicting preeclampsia: A comparative approach</t>
  </si>
  <si>
    <t>Preeclampsia is a disease that complicates a large number of pregnancies. In this study, a comparative approach is taken to understand how dimension reduction methods and time-series summary methods can be useful for predicting preeclampsia based on proteomics data. Here, the dimension reduction methods are the Imperialist Competitive Algorithm and the gene clustering method of the Sample Progression Discovery algorithm, the time-series summary methods included a simple overall average and a 3-point summary corresponding to the three trimesters of pregnancy. These approaches achieved similar prediction accuracy around 90% in two independent datasets. Separate analysis of data from each trimester showed an interesting result that it is easier to predict preeclampsia based on proteomics data…</t>
  </si>
  <si>
    <t>8AEED83E-DDC3-4109-B981-37A78A16B4C2</t>
  </si>
  <si>
    <t>cascini_2025</t>
  </si>
  <si>
    <t>10.1007/978-3-031-88497-9_2</t>
  </si>
  <si>
    <t>Electronic Health Data Reuse Purposes</t>
  </si>
  <si>
    <t>Background Multidrug-resistant organisms (MDRO) pose a significant threat to public health. Intensive Care Units (ICU), characterized by the extensive use of antimicrobial agents and a high prevalence of bacterial resistance, are hotspots for MDRO proliferation. Timely identification of patients at high risk for MDRO can aid in curbing transmission, enhancing patient outcomes, and maintaining the cleanliness of the ICU environment. This study focused on developing a machine learning (ML) model to identify patients at risk of MDRO during the initial phase of their ICU stay. Methods Utilizing patient data from the First Medical Center of the People's Liberation Army General Hospital (PLAGH-ICU) and the Medical Information Mart for Intensive Care (MIMIC-IV), the study analyzed variables withi…</t>
  </si>
  <si>
    <t>581A6109-C821-44A4-9C56-E8382C8D797B</t>
  </si>
  <si>
    <t>chang_2024</t>
  </si>
  <si>
    <t>10.1007/s11096-024-01724-y</t>
  </si>
  <si>
    <t>Developing a machine learning model for predicting venlafaxine active moiety concentration: a retrospective study using real-world evidence</t>
  </si>
  <si>
    <t>Background: Venlafaxine is frequently prescribed for patients with depression. To control the concentration of venlafaxine within the therapeutic window for the best treatment effect, a model to predict venlafaxine concentration is necessary. Aim: Our objective was to develop a prediction model for venlafaxine concentration using real-world evidence based on machine learning and deep learning techniques. Method: Patients who underwent venlafaxine treatment between November 2019 and August 2022 were included in the study. Important variables affecting venlafaxine concentration were identified using a combination of univariate analysis, sequential forward selection, and machine learning techniques. Predictive performance of nine machine learning and deep learning algorithms were assessed, an…</t>
  </si>
  <si>
    <t>C2789CCC-63D7-4513-81EE-EC6F581B4540</t>
  </si>
  <si>
    <t>chavezleyva2021</t>
  </si>
  <si>
    <t>10.1109/embc46164.2021.9630136</t>
  </si>
  <si>
    <t>Characterization of systolic and diastolic pressure time series in pregnant women with preeclampsia through symbolic dynamics</t>
  </si>
  <si>
    <t>Preeclampsia (PE) is one of the leading causes of maternal mortality worldwide. Although clinical strategies to prevent the early onset of PE have been proposed, the ultimate solution is to end the pregnancy. Therefore, patients’ identification with major PE risk is important towards the prevention and better management of a severe manifestation of the illness. This study aims to analyze the systolic blood pressure (SBP) and diastolic blood pressure (DBP) time series through a nonlinear perspective using symbolic dynamics and to incorporate a multi-scale assessment in the first trimester of pregnancy, previous to the clinical manifestation of PE. The study group of normotensive women who developed and were diagnosed with PE included 14 pregnant women, a normotensive throughout pregnancy co…</t>
  </si>
  <si>
    <t>Exclude/Context: Signal/time-series characterization in PE; no explicit prediction model or performance metrics.</t>
  </si>
  <si>
    <t>FC77637A-0459-4D95-9F10-4A1528B9A523</t>
  </si>
  <si>
    <t>chemhaka_2025</t>
  </si>
  <si>
    <t>10.1186/s12982-025-00524-7</t>
  </si>
  <si>
    <t>Socioeconomic and demographic factors associated with anaemia among women of reproductive age in Zimbabwe: a supervised machine learning approach</t>
  </si>
  <si>
    <t>Anaemia affects approximately one-third of women of reproductive age globally, with the highest burden observed in resource-limited countries. Therefore, this study aimed to determine the socioeconomic and demographic factors associated with anaemia and predict anaemia among women in Zimbabwe. Using nationally representative, cross-sectional data from the 2015 Zimbabwe Demographic and Health Survey (DHS), a dataset from a sample of 5412 women of reproductive age was analyzed. The Chi-square test and multivariate logistic regression were employed to identify independent predictors of anaemia, while Elastic Net was used for feature importance scoring. To address the class imbalance, the Synthetic Minority Oversampling Technique (SMOTE) was applied. The prevalence of anaemia among women in Zi…</t>
  </si>
  <si>
    <t>Exclude/Context: Outcome is anaemia among women of reproductive age, not PE/HDP.</t>
  </si>
  <si>
    <t>BDB6F8A5-7A8B-49EB-80F6-C4E5FB3DF48A</t>
  </si>
  <si>
    <t>chen_2024</t>
  </si>
  <si>
    <t>10.1186/s12884-024-06933-x</t>
  </si>
  <si>
    <t>Development and validation of a spontaneous preterm birth risk prediction algorithm based on maternal bioinformatics: A single-center retrospective study</t>
  </si>
  <si>
    <t>Background: Spontaneous preterm birth (sPTB) is a primary cause of adverse neonatal outcomes. The objective of this study is to analyze the factors influencing the occurrence of sPTB in pregnant women and to construct and validate a predictive model for sPTB risk based on big data from clinical and laboratory assessments during pregnancy. Methods: A retrospective analysis was conducted on the clinical data of 3,082 pregnant women, categorizing those who delivered before 37 weeks of gestation as the sPTB group and those who delivered at or after 37 weeks as the full-term group. The performance of five machine learning models was compared using metrics such as the AUC, accuracy, sensitivity, specificity, and precision to identify the optimal predictive model. The top 10 predictive variables …</t>
  </si>
  <si>
    <t>F0745FB1-E026-43FB-9590-5DF16CBBB848</t>
  </si>
  <si>
    <t>cheng_2023</t>
  </si>
  <si>
    <t>10.1038/s41598-023-35935-6</t>
  </si>
  <si>
    <t>Predicting body mass index in early childhood using data from the first 1000 days</t>
  </si>
  <si>
    <t>Few existing efforts to predict childhood obesity have included risk factors across the prenatal and early infancy periods, despite evidence that the first 1000 days is critical for obesity prevention. In this study, we employed machine learning techniques to understand the influence of factors in the first 1000 days on body mass index (BMI) values during childhood. We used LASSO regression to identify 13 features in addition to historical weight, height, and BMI that were relevant to childhood obesity. We then developed prediction models based on support vector regression with fivefold cross validation, estimating BMI for three time periods: 30–36 (N = 4204), 36–42 (N = 4130), and 42–48 (N = 2880) months. Our models were developed using 80\% of the patients from each period. When tested o…</t>
  </si>
  <si>
    <t>FF722875-EBA0-4B8D-A010-7599339E4B36</t>
  </si>
  <si>
    <t>clapp_2021</t>
  </si>
  <si>
    <t>10.1038/s41372-021-01072-z</t>
  </si>
  <si>
    <t>Derivation and external validation of risk stratification models for severe maternal morbidity using prenatal encounter diagnosis codes</t>
  </si>
  <si>
    <t>Objective: We sought to develop a prediction model using prenatal diagnosis codes that could help clinicians objectively stratify a women's risk for delivery-related morbidity. Study design: We performed a prospective cohort study of women delivering at a single academic medical center between 2016 and 2019. Diagnosis codes from outpatient encounters were extracted from the electronic health record. Standard and common machine-learning methods for variable selection were compared. The performance characteristics from the selected model in the training data set—a LASSO model with a lambda that minimized the Bayes information criteria—were compared in a testing and external validation set. Results: The model identified a group of women, those in the highest decile of predicted risk, who were…</t>
  </si>
  <si>
    <t>Exclude/Context: ML/prediction study but not PE/HDP-specific.</t>
  </si>
  <si>
    <t>EE3C1351-1E8F-4084-B5C7-9C6103C48480</t>
  </si>
  <si>
    <t>converse_2025</t>
  </si>
  <si>
    <t>10.1007/s12170-025-00769-6</t>
  </si>
  <si>
    <t>Addressing Disparities in the Screening and Treatment of Dyslipidemia – A Call to Action</t>
  </si>
  <si>
    <t>Purpose of Review: In this review, we discuss the prevalence and reasons for such disparities, as well as the social determinants of health that compound such disparities and their effect on adverse cardiovascular outcomes. We also discuss factors contributing to these disparities and how to address them. Recent Findings: Cardiovascular mortality has increased in the United States (US) since 2015 after 5 decades of decline, with a higher rate of increase in certain racial/ethnic groups compared to non-Hispanic Whites. (Tsao et al., Circulation. 2023;147:e93–621) There has also been a concomitant worsening of cardiovascular risk factor profiles in US adults (i.e., rising rates of hypertension, obesity, diabetes, and dyslipidemia). Despite recommendations for lipid screening by various healt…</t>
  </si>
  <si>
    <t>Exclude/Context: PE/HDP-related but no ML/AI prediction model identifiable at abstract level.</t>
  </si>
  <si>
    <t>4D9347A6-BFA4-41DD-94DF-6EAED7917FF0</t>
  </si>
  <si>
    <t>dajti_2025</t>
  </si>
  <si>
    <t>10.1038/s41572-025-00633-2</t>
  </si>
  <si>
    <t>Intrahepatic cholestasis of pregnancy</t>
  </si>
  <si>
    <t>Intrahepatic cholestasis of pregnancy is the most common pregnancy-related liver disease, manifesting typically during the third trimester of pregnancy with pruritus and elevated serum bile acids. This condition is associated with increased fetal morbidity and mortality, and its pathogenesis is still incompletely understood, but is most likely multifactorial, involving ethnicity, genetics, hormones and environmental factors. Available evidence covering the pathophysiology of both maternal and fetal manifestations, and potential new areas of interest such as microbiota and the environment, have been reviewed, as well as available biomarkers that can be used particularly with regard to genetics, multiomics and the possible use of machine learning algorithms to predict intrahepatic cholestasi…</t>
  </si>
  <si>
    <t>15F67415-0A22-4D78-9EC7-9CD769E554A7</t>
  </si>
  <si>
    <t>danieli_2024</t>
  </si>
  <si>
    <t>10.1016/j.autrev.2023.103496</t>
  </si>
  <si>
    <t>Machine learning application in autoimmune diseases: State of art and future prospectives</t>
  </si>
  <si>
    <t>Autoimmune diseases are a group of disorders resulting from an alteration of immune tolerance, characterized by the formation of autoantibodies and the consequent development of heterogeneous clinical manifestations. Diagnosing autoimmune diseases is often complicated, and the available prognostic tools are limited. Machine learning allows us to analyze large amounts of data and carry out complex calculations quickly and with minimal effort. In this work, we examine the literature focusing on the use of machine learning in the field of the main systemic (systemic lupus erythematosus and rheumatoid arthritis) and organ-specific autoimmune diseases (type 1 diabetes mellitus, autoimmune thyroid, gastrointestinal, and skin diseases). From our analysis, interesting applications of machine learn…</t>
  </si>
  <si>
    <t>Exclude/Context: Review of ML in autoimmune diseases, not PE/HDP-specific.</t>
  </si>
  <si>
    <t>AC7D29E3-2519-4E75-B50B-344A2144EAF5</t>
  </si>
  <si>
    <t>darsareh_2023</t>
  </si>
  <si>
    <t>10.1186/s12884-023-05486-9</t>
  </si>
  <si>
    <t>Application of machine learning to identify risk factors of birth asphyxia</t>
  </si>
  <si>
    <t>Background: Developing a prediction model that incorporates several risk factors and accurately calculates the overall risk of birth asphyxia is necessary. The present study used a machine learning model to predict birth asphyxia. Methods: Women who gave birth at a tertiary Hospital in Bandar Abbas, Iran, were retrospectively evaluated from January 2020 to January 2022. Data were extracted from the Iranian Maternal and Neonatal Network, a valid national system, by trained recorders using electronic medical records. Demographic factors, obstetric factors, and prenatal factors were obtained from patient records. Machine learning was used to identify the risk factors of birth asphyxia. Eight machine learning models were used in the study. To evaluate the diagnostic performance of each model, …</t>
  </si>
  <si>
    <t>B0341659-4671-4D38-9C8A-90BC159E4F81</t>
  </si>
  <si>
    <t>derksen_2025</t>
  </si>
  <si>
    <t>10.1186/s13012-025-01445-4</t>
  </si>
  <si>
    <t>The implementation challenge of computerised clinical decision support systems for the detection of disease in primary care: systematic review and recommendations</t>
  </si>
  <si>
    <t>Background: Early detection of diseases in primary care is crucial for timely treatment and better outcomes. Complex care demands and limited resources can make early detection challenging. Clinical decision support systems (CDSS) aim to improve the diagnostic process. However, barriers to implementation have so far prevented their effective use. This systematic review aimed to identify barriers for the implementation of CDSS for disease detection in primary care and use this to develop recommendations for implementation. Methods: We searched MEDLINE, EMBASE, Scopus, Web of Science and Cochrane databases. Included studies reported barriers to the implementation of CDSS for the detection of undiagnosed, prevalent diseases in primary care. Two independent researchers undertook screening and …</t>
  </si>
  <si>
    <t>6C3C198E-0F9B-4410-88AF-14B046190DD9</t>
  </si>
  <si>
    <t>devi2023</t>
  </si>
  <si>
    <t>10.1109/icses60034.2023.10465376</t>
  </si>
  <si>
    <t>Prediction of Hypertensive Disorders in Pregnancy using Machine Learning Algorithms</t>
  </si>
  <si>
    <t>Objective   The primary objective of this study was to evaluate the efficacy of the HDP gestosis score by adopting Machine Learning Algorithms (MLA) to predict preeclampsia.  Methods  The information was gathered retrospectively by reviewing the patient’s records. The HDP Gestosis Score predictors were evaluated for their ability to predict preeclampsia. The following machine learning models were utilized in this study: XG Boost classifier, Naive Bayes classifier, Support Vector Machine (SVM), RF classifier, and Decision Tree to evaluate the predictive efficiency of the HDP factors in predicting hypertensive diseases during pregnancy.  Results  Approximately 55% of women were assessed as being at high risk for preeclampsia, 17% at low risk, and the rest at moderate risk. Compared to other …</t>
  </si>
  <si>
    <t>Include: Include: ML/AI prediction of HDP, pregnancy-associated hypertension, or pregnancy-induced hypertension.</t>
  </si>
  <si>
    <t>A5AF035F-D987-4C22-A488-7F0437FC3D16</t>
  </si>
  <si>
    <t>ding_2024</t>
  </si>
  <si>
    <t>10.1530/EC-24-0169</t>
  </si>
  <si>
    <t>Application of machine learning algorithm incorporating dietary intake in prediction of gestational diabetes mellitus</t>
  </si>
  <si>
    <t>Introduction: Gestational diabetes mellitus (GDM) significantly affects pregnancy outcomes. Therefore, it is crucial to develop prediction models since they can guide timely interventions to reduce the incidence of GDM and its associated adverse effects. Methods: A total of 554 pregnant women were selected and their sociodemographic characteristics, clinical data and dietary data were collected. Dietary data were investigated by a validated semi-quantitative food frequency questionnaire (FFQ). We applied random forest mean decrease impurity for feature selection and the models are built using logistic regression, XGBoost, and LightGBM algorithms. The prediction performance of different models was compared by accuracy, sensitivity, specificity, area under curve (AUC) and Hosmer–Lemeshow tes…</t>
  </si>
  <si>
    <t>5E9A5114-2378-4B78-8B34-8CA332C67145</t>
  </si>
  <si>
    <t>dreisbach_2025</t>
  </si>
  <si>
    <t>10.1097/nmc.0000000000001082</t>
  </si>
  <si>
    <t>Application of Predictive Analytics in Pregnancy, Birth, and Postpartum Nursing Care</t>
  </si>
  <si>
    <t>Abstract Predictive analytics has emerged as a promising approach for improving reproductive health care and patient outcomes. During pregnancy and birth, the ability to accurately predict risks and complications could enable earlier interventions and reduce adverse events. However, there are challenges and ethical considerations for implementing predictive models in perinatal care settings. We introduce major concepts in predictive analytics and describe application of predictive modeling to perinatal care topics such as fertility, preeclampsia, labor onset, vaginal birth after cesarean, uterine rupture, induction outcomes, postpartum hemorrhage, and postpartum mood disorders. Although some predictive models have achieved adequate accuracy (AUC 0.7-0.9), most require additional external v…</t>
  </si>
  <si>
    <t>97E66730-C041-4E3D-8066-0D8ADB7E7082</t>
  </si>
  <si>
    <t>edwards_2023</t>
  </si>
  <si>
    <t>10.1146/annurev-biodatasci-020722-105958</t>
  </si>
  <si>
    <t>Challenges and Opportunities for Data Science in Women’s Health</t>
  </si>
  <si>
    <t>The intersection of women's health and data science is a field of research that has historically trailed other fields, but more recently it has gained momentum. This growth is being driven not only by new investigators who are moving into this area but also by the significant opportunities that have emerged in new methodologies, resources, and technologies in data science. Here, we describe some of the resources and methods being used by women's health researchers today to meet challenges in biomedical data science. We also describe the opportunities and limitations of applying these approaches to advance women's health outcomes and the future of the field, with emphasis on repurposing existing methodologies for women's health.</t>
  </si>
  <si>
    <t>9C5DEAAB-89C0-4C42-BF47-38690659C546</t>
  </si>
  <si>
    <t>escobar_2021</t>
  </si>
  <si>
    <t>10.1016/j.ajog.2020.10.030</t>
  </si>
  <si>
    <t>Prediction of obstetrical and fetal complications using automated electronic health record data</t>
  </si>
  <si>
    <t>An increasing number of delivering women experience major morbidity and mortality. Limited work has been done on automated predictive models that could be used for prevention. Using only routinely collected obstetrical data, this study aimed to develop a predictive model suitable for real-time use with an electronic medical record. We used a retrospective cohort study design with split validation. The denominator consisted of women admitted to a delivery service. The numerator consisted of women who experienced a composite outcome that included both maternal (eg, uterine rupture, postpartum hemorrhage), fetal (eg, stillbirth), and neonatal (eg, hypoxic ischemic encephalopathy) adverse events. We employed machine learning methods, assessing model performance using the area under the receive…</t>
  </si>
  <si>
    <t>Exclude/Context: Not PE/HDP-related according to title/abstract/audit note.</t>
  </si>
  <si>
    <t>4E96A074-507B-47B4-BC10-22E9428B5734</t>
  </si>
  <si>
    <t>esteva2019</t>
  </si>
  <si>
    <t>10.1038/s41591-018-0316-z</t>
  </si>
  <si>
    <t>A guide to deep learning in healthcare</t>
  </si>
  <si>
    <t>This article presents an overview of deep-learning techniques in healthcare, focusing on their applications in computer vision, natural language processing (NLP), reinforcement learning, and generalized deep-learning frameworks. In computer vision, deep learning enables advanced analysis of medical imaging for diagnosis and treatment planning. NLP methods are applied to extract and interpret insights from unstructured data in electronic health records, enhancing clinical decision support. Reinforcement learning is explored in the context of robotic-assisted surgery, optimizing procedural precision and autonomy. Additionally, generalized deep-learning approaches are discussed for their transformative potential in genomics and personalized medicine. Collectively, these advances illustrate ho…</t>
  </si>
  <si>
    <t>Exclude/Context: General deep learning in healthcare overview; context only.</t>
  </si>
  <si>
    <t>FB9ED4EE-F0F3-45C5-8677-B2C3CAED8DE0</t>
  </si>
  <si>
    <t>fuster_2021</t>
  </si>
  <si>
    <t>10.1016/j.jacc.2020.12.044</t>
  </si>
  <si>
    <t>Editor-in-Chief’s Top Picks From 2020</t>
  </si>
  <si>
    <t>This editorial overview presents the annual selection of the top 100 papers published in the Journal of the American College of Cardiology (JACC), encompassing both Original Investigations and Review Articles across a wide range of cardiovascular subspecialties. Selections were made based on the Editor-in-Chief’s personal review, website access metrics, download statistics, and nominations from the JACC Editorial Board. The featured sections include: Basic &amp; Translational Research, Cardiac Failure &amp; Myocarditis, Cardiomyopathies &amp; Genetics, Cardio-Oncology, Congenital Heart Disease, Coronary Disease &amp; Interventions, Coronavirus (new section), Hypertension, Imaging, Metabolic &amp; Lipid Disorders, Neurovascular Disease &amp; Dementia, Promoting Health &amp; Prevention, Rhythm Disorders &amp; Thromboemboli…</t>
  </si>
  <si>
    <t>1637B8EC-3807-4115-88E0-4B6FC14CFA19</t>
  </si>
  <si>
    <t>gil2024</t>
  </si>
  <si>
    <t>10.1002/uog.27478</t>
  </si>
  <si>
    <t>A first-trimester machine-learning model for the prediction of pre-eclampsia: PREVAL study</t>
  </si>
  <si>
    <t>Effective first-trimester screening for pre-eclampsia (PE) can be achieved using a competing-risks model combining maternal risk factors with multiples of the median (MoM) biomarker values. A new artificial intelligence (AI) approach based on a fully connected neural network has demonstrated comparable performance without requiring MoM conversion. This study assessed whether such a machine-learning model could be applied across populations without specific recalibration. The model, originally developed in the UK using maternal risk factors, mean arterial pressure (MAP), uterine artery pulsatility index (UtA-PI), placental growth factor (PlGF), and pregnancy-associated plasma protein-A (PAPP-A), was validated in 10,110 singleton pregnancies from Spain’s PREVAL study. Detection rates (DR) at…</t>
  </si>
  <si>
    <t>10BD4240-701B-431F-B102-948B54FDF98E</t>
  </si>
  <si>
    <t>golubnitschaja_2020</t>
  </si>
  <si>
    <t>10.1007/s13167-020-00206-1</t>
  </si>
  <si>
    <t>10th Anniversary of the European Association for Predictive, Preventive and Personalised (3P) Medicine - EPMA World Congress Supplement 2020</t>
  </si>
  <si>
    <t>Abstract In 2019, the EPMA celebrated its 10th anniversary at the 5th World Congress in Pilsen, Czech Republic. The history of the International Professional Network dedicated to Predictive, Preventive and Personalised Medicine (PPPM / 3PM) is rich in achievements. Facing the coronavirus COVID-19 pandemic it is getting evident globally that the predictive approach, targeted prevention and personalisation of medical services is the optimal paradigm in healthcare demonstrating the high potential to save lives and to benefit the society as a whole. The EPMA World Congress Supplement 2020 highlights advances in 3P medicine.</t>
  </si>
  <si>
    <t>822CC28D-FF46-4624-B9A2-E33173D053B1</t>
  </si>
  <si>
    <t>gonz_lez_fern_ndez_2023</t>
  </si>
  <si>
    <t>10.1016/b978-0-12-821848-8.00166-9</t>
  </si>
  <si>
    <t>Pregnancy: Pre-eclampsia and diet</t>
  </si>
  <si>
    <t>Hypertensive disorders during pregnancy (HDPs) are one of the main causes of maternal death worldwide, particularly complications of pre-eclampsia and eclampsia. Although the etiology remains unclear, specific nutrients have been proposed as contributing factors in the pathophysiology of the disease. Both overnutrition and undernutrition influence oxidative stress and inflammation processes, favoring the development of HDPs. Current evidence suggests that calcium supplementation in populations with low calcium intake and at risk of developing HDPs could be beneficial. Supplementation with certain micronutrients and minerals appears to be a promising nutritional strategy for the prevention of HDPs, but further large-scale studies are needed to confirm their efficacy.</t>
  </si>
  <si>
    <t>4BFE3EC9-6045-425A-BB79-23EEBDB00DA0</t>
  </si>
  <si>
    <t>gu_2025</t>
  </si>
  <si>
    <t>10.1038/s41467-025-59442-6</t>
  </si>
  <si>
    <t>Genetic architecture and risk prediction of gestational diabetes mellitus in Chinese pregnancies</t>
  </si>
  <si>
    <t>Gestational diabetes mellitus, a heritable metabolic disorder and the most common pregnancy-related condition, remains understudied regarding its genetic architecture and its potential for early prediction using genetic data. Here we conducted genome-wide association studies on 116,144 Chinese pregnancies, leveraging their non-invasive prenatal test sequencing data and detailed prenatal records. We identified 13 novel loci for gestational diabetes mellitus and 111 for five glycemic traits, with minor allele frequencies of 0.01-0.5 and absolute effect sizes of 0.03-0.62. Approximately 50\% of these loci were specific to gestational diabetes mellitus and gestational glycemic levels, distinct from type 2 diabetes and general glycemic levels in East Asians. A machine learning model integrating…</t>
  </si>
  <si>
    <t>26B9E6A6-AE9B-4468-B770-8B1EBCB457E1</t>
  </si>
  <si>
    <t>hackel_er_2022</t>
  </si>
  <si>
    <t>10.1007/s00404-022-06864-y</t>
  </si>
  <si>
    <t>New advances in prediction and surveillance of preeclampsia: role of machine learning approaches and remote monitoring</t>
  </si>
  <si>
    <t>Preeclampsia, a multisystem disorder in pregnancy, is still one of the main causes of maternal morbidity and mortality. Due to a lack of a causative therapy, an accurate prediction of women at risk for the disease and its associated adverse outcomes is of utmost importance to tailor care. In the past two decades, there have been successful improvements in screening as well as in the prediction of the disease in high-risk women. This is due to, among other things, the introduction of biomarkers such as the sFlt-1/PlGF ratio. Recently, the traditional definition of preeclampsia has been expanded based on new insights into the pathophysiology and conclusive evidence on the ability of angiogenic biomarkers to improve detection of preeclampsia-associated maternal and fetal adverse events.Howeve…</t>
  </si>
  <si>
    <t>E176D2EA-7BB3-423B-94A8-F4966EEF7B45</t>
  </si>
  <si>
    <t>hoffman_2021</t>
  </si>
  <si>
    <t>10.1016/j.ajogmf.2020.100250</t>
  </si>
  <si>
    <t>A machine learning algorithm for predicting maternal readmission for hypertensive disorders of pregnancy</t>
  </si>
  <si>
    <t>Background: Maternal postpartum hypertensive emergency is a major cause of maternal mortality and maternal readmission, yet prediction of women who require readmission is limited with false negatives and false positives. Objective: This study aimed to develop and validate a predictive algorithm for maternal postpartum readmission from complications of hypertensive disorders of pregnancy using machine learning. Study Design: We performed a cohort study of pregnant women delivering at a single institution using prospectively collected clinical information available from the electronic medical record at the time of discharge. Our primary outcome was readmission within 42 days of delivery for complications of hypertensive disorders of pregnancy. The data set was divided into a derivation and a…</t>
  </si>
  <si>
    <t>Include: Include: ML/AI model applied to a PE/HDP cohort, PE/HDP-related complication, or HDP-related outcome.</t>
  </si>
  <si>
    <t>This study may focus not on Preeclampsia</t>
  </si>
  <si>
    <t>3D048398-44D3-44C9-A8F7-97EFCE782119</t>
  </si>
  <si>
    <t>jafree_2025</t>
  </si>
  <si>
    <t>10.1007/s11135-025-02210-x</t>
  </si>
  <si>
    <t>Predicting high risk pregnancies in Pakistan- a demographic assessment using predictive machine learning</t>
  </si>
  <si>
    <t>Pakistan is unable to meet its maternal and child health targets. Predictive machine learning has the potential to predict high risk pregnancies based on data from women who have had a miscarriage or stillbirth. This would help advise better healthcare plans at primary and tertiary level and help achieve Sustainable Development Goal targets in the country. The aim of this study was to evaluate several machine learning models to measure their ability to detect high risk pregnancies. The Pakistan Demographic Health Survey (2018) has been used which includes data from 15,068 women across Pakistan. Fourteen machine learning classifiers have been employed to predict high risk pregnancies, with the following evaluation metrics reported: precision, recall, false positive rate (FPR), accuracy, and…</t>
  </si>
  <si>
    <t>Exclude/Context: High-risk pregnancy prediction but no PE/HDP-specific outcome extractable.</t>
  </si>
  <si>
    <t>6B64B4DF-04E5-4E5C-BDCA-F80F6B2C45AB</t>
  </si>
  <si>
    <t>janapa_2025</t>
  </si>
  <si>
    <t>10.1007/s11664-025-12160-7</t>
  </si>
  <si>
    <t>Federated Learning for Pregnancy Care: Smartwatch and Mobile App for Fetal Monitoring and Promoting Normal Deliveries</t>
  </si>
  <si>
    <t>Pregnancy care often lacks continuous, personalized monitoring, which can lead to higher rates of cesarean section and preventable complications for both mother and baby. To address these challenges, we propose a federated learning-based pregnancy (FLP) care system, which offers a novel solution by integrating a mobile application with smartwatch technology to promote healthier pregnancy outcomes and support normal deliveries. Through the mobile app, FLP collects patient information, provides personalized exercise and dietary guidance, predicts early labor signs, and builds a supportive user community. The smartwatch, equipped with a fetal heart rate monitoring patch, captures fetal electrocardiogram (ECG) signals to ensure well-being, promptly alerting users to potential concerns. As pati…</t>
  </si>
  <si>
    <t>51FCD17D-2C10-42FF-9ED9-E97F96B83D41</t>
  </si>
  <si>
    <t>jones_2025</t>
  </si>
  <si>
    <t>10.1016/j.jacc.2025.05.007</t>
  </si>
  <si>
    <t>2025 AHA/ACC/AANP/AAPA/ABC/ACCP/ACPM/AGS/AMA/ASPC/NMA/PCNA/SGIM Guideline for the Prevention, Detection, Evaluation, and Management of High Blood Pressure in Adults</t>
  </si>
  <si>
    <t>AIM: The “2025 AHA/ACC/AANP/AAPA/ABC/ACCP/ACPM/AGS/AMA/ASPC/NMA/PCNA/SGIM Guideline for the Prevention, Detection, Evaluation, and Management of High Blood Pressure in Adults” retires and replaces the “2017 ACC/AHA/AAPA/ABC/ACPM/AGS/APhA/ASH/ASPC/NMA/PCNA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t>
  </si>
  <si>
    <t>56D1727C-9CC4-4D9A-992F-88D62E06CE1D</t>
  </si>
  <si>
    <t>kang_2022</t>
  </si>
  <si>
    <t>10.1038/s41598-022-15450-w</t>
  </si>
  <si>
    <t>Gestational age-specific serum creatinine can predict adverse pregnancy outcomes</t>
  </si>
  <si>
    <t>Serum creatinine level (SCr) typically decreases during pregnancy due to physiologic glomerular hyperfiltration. Therefore, the clinical practice of estimated glomerular filtration rate (eGFR) based on SCr concentrations might be inapplicable to pregnant women with kidney disease since it does not take into account of the pregnancy-related biological changes. We integrated the Wonju Severance Christian Hospital (WSCH)-based findings and prior knowledge from big data to reveal the relationship between the abnormal but hidden SCr level and adverse pregnancy outcomes. We analyzed 4004 pregnant women who visited in WSCH. Adverse pregnancy outcomes included preterm birth, preeclampsia, fetal growth retardation, and intrauterine fetal demise. We categorized the pregnant women into four groups ba…</t>
  </si>
  <si>
    <t>Manual check: Predictive statistical analysis including PE in composite outcomes; no explicit ML/AI model. Include only if traditional regression prediction studies are in scope.</t>
  </si>
  <si>
    <t>30A33BD5-27C9-41C1-9DF6-9F88C8CB25FF</t>
  </si>
  <si>
    <t>kaur2025</t>
  </si>
  <si>
    <t>10.1109/esic64052.2025.10962644</t>
  </si>
  <si>
    <t>Maternal risk prediction by early detection of Pre-Eclampsia and high-risk pregnancies using machine learning</t>
  </si>
  <si>
    <t>After 20 weeks of pregnancy, pre-eclampsia, a severe pregnancy syndrome, usually manifests as increased blood pressure and injury to other organs. In order to prevent adverse consequences for both the mother and the fetus, early detection and forecasting are essential for prompt intervention and therapy. Machine learning techniques are highly effective tools for predictive analytics in the healthcare industry, with the ability to identify high-risk pregnancies and enhance clinical decision-making. In this study, it has been suggested that machine learning be used to forecast pre-eclampsia by utilizing clinical and perinatal demographic information. We use a dataset containing information on maternal age, blood pressure readings, and other relevant parameters to train and evaluate predictiv…</t>
  </si>
  <si>
    <t>2B6C2B83-03AA-412C-BBAC-0D9B0C6779C9</t>
  </si>
  <si>
    <t>kavitha_2024</t>
  </si>
  <si>
    <t>10.1007/s11042-024-18332-7</t>
  </si>
  <si>
    <t>Predicting risk factors associated with preterm delivery using a machine learning model</t>
  </si>
  <si>
    <t>The evaluation of uterine contraction offers significant information regarding the progression of labour. The occurrence of deliveries before the expected dates leads to undesirable consequences for the mother and fetus. Electrohysterography (EHG) is a non-invasive monitoring scheme generally preferred to detect preterm delivery and reduce the hostile consequences. This paper proposed a novel term and preterm prediction method for predicting preterm deliveries by employing EHG signals. The proposed scheme involves three phases: pre-processing, feature extraction and prediction. Initially, the acquired EHG signals are pre-processed using a band pass filter and wavelet transform to remove noise and artefacts from the EHG signal. The second stage is feature extraction, where the representativ…</t>
  </si>
  <si>
    <t>Exclude/Context: Predicts preterm delivery using EHG, not PE/HDP.</t>
  </si>
  <si>
    <t>F6C400DC-0760-4D6E-85FE-EBB9815B96D1</t>
  </si>
  <si>
    <t>khalil_2024</t>
  </si>
  <si>
    <t>10.1016/j.ajog.2024.02.299</t>
  </si>
  <si>
    <t>The role of cell-free DNA biomarkers and patient data in the early prediction of preeclampsia: an artificial intelligence model</t>
  </si>
  <si>
    <t>Background: Accurate individualized assessment of preeclampsia risk enables the identification of patients most likely to benefit from initiation of low-dose aspirin at 12 to 16 weeks of gestation when there is evidence for its effectiveness, and enables the guidance of appropriate pregnancy care pathways and surveillance. Objective: The primary objective of this study was to evaluate the performance of artificial neural network models for the prediction of preterm preeclampsia (\textless37 weeks' gestation) using patient characteristics available at the first antenatal visit and data from prenatal cell-free DNA screening. Secondary outcomes were prediction of early-onset preeclampsia (\textless34 weeks' gestation) and term preeclampsia (=37 weeks' gestation). Methods: This secondary analy…</t>
  </si>
  <si>
    <t>Data used in this study seems not available in Ecuador. Hence, the study could be rejected</t>
  </si>
  <si>
    <t>12FA2CA8-AA81-461E-B457-3B95C24AAFB2</t>
  </si>
  <si>
    <t>kumar_2022</t>
  </si>
  <si>
    <t>10.1007/s13410-022-01143-7</t>
  </si>
  <si>
    <t>RSSDI Guidelines for the management of hypertension in patients with diabetes mellitus</t>
  </si>
  <si>
    <t>Hypertension and diabetes mellitus (DM) are two of the leading lifestyle diseases in the Indian and South Asian populations that often co-exist due to overlapping pathophysiological factors. Obesity, insulin resistance, inflammation, and oxidative stress are thought to be some common pathways. Up to 50\% of hypertensive cases in India are diagnosed with type 2 diabetes mellitus (T2DM), which defines the need for a comprehensive guideline for managing hypertension in diabetic patients. These RSSDI guidelines have been formulated based on consultation with expert endocrinologists in India and Southeast Asia, acknowledging the needs of the Indian population. Ambulatory blood pressure monitoring and office and home-based blood pressure (BP) monitoring are recommended for the early analysis of …</t>
  </si>
  <si>
    <t>029BB1E9-D804-49BD-832A-B77C2258221A</t>
  </si>
  <si>
    <t>lee_2022</t>
  </si>
  <si>
    <t>10.1038/s41598-022-15391-4</t>
  </si>
  <si>
    <t>Development of early prediction model for pregnancy-associated hypertension with graph-based semi-supervised learning</t>
  </si>
  <si>
    <t>Abstract Clinical guidelines recommend several risk factors to identify women in early pregnancy at high risk of developing pregnancy-associated hypertension. However, these variables result in low predictive accuracy. Here, we developed a prediction model for pregnancy-associated hypertension using graph-based semi-supervised learning. This is a secondary analysis of a prospective study of healthy pregnant women. To develop the prediction model, we compared the prediction performances across five machine learning methods (semi-supervised learning with both labeled and unlabeled data, semi-supervised learning with labeled data only, logistic regression, support vector machine, and random forest) using three different variable sets: [a] variables from clinical guidelines, [b] selected impor…</t>
  </si>
  <si>
    <t>8A426F1A-9995-4391-8050-7521C8BEC321</t>
  </si>
  <si>
    <t>lee_2024</t>
  </si>
  <si>
    <t>10.1016/j.bpobgyn.2023.102436</t>
  </si>
  <si>
    <t>Prediction of preeclampsia in asymptomatic women</t>
  </si>
  <si>
    <t>Preeclampsia is a major cause of maternal and perinatal morbidity and mortality. It is important to identify women who are at high risk of developing this disorder in their first trimester of pregnancy to allow timely therapeutic intervention. The use of low-dose aspirin initiated before 16 weeks of gestation can significantly reduce the rate of preterm preeclampsia by 62 %. Effective screening recommended by the Fetal Medicine Foundation (FMF) consists of a combination of maternal risk factors, mean arterial pressure, uterine artery pulsatility index (UtA-PI) and placental growth factor (PLGF). The current model has detection rates of 90 %, 75 %, and 41 % for early, preterm, and term preeclampsia, respectively at 10 % false-positive rate. Similar risk assessment can be performed during th…</t>
  </si>
  <si>
    <t>E40F67C1-F153-4346-8A69-AD0DEB3335F0</t>
  </si>
  <si>
    <t>lewey_2023</t>
  </si>
  <si>
    <t>10.1038/s44161-022-00201-x</t>
  </si>
  <si>
    <t>Challenges and opportunities to improving research in maternal cardiovascular health</t>
  </si>
  <si>
    <t>Pregnancy is associated with a substantial risk of short-term and long-term cardiovascular diseases. Here we discuss physiological and social factors that affect the risk of pregnancy-related cardiovascular diseases and opportunities to improve outcomes.</t>
  </si>
  <si>
    <t>A7508D1C-D875-487E-8BC4-CCF78EB0190F</t>
  </si>
  <si>
    <t>li2024</t>
  </si>
  <si>
    <t>10.3389/fendo.2024.1345573</t>
  </si>
  <si>
    <t>External validation of machine learning models for early prediction of preeclampsia using first-trimester clinical data</t>
  </si>
  <si>
    <t>Introduction: Preeclampsia is a disease with an unknown pathogenesis and is one of the leading causes of maternal and perinatal morbidity. At present, early identification of high-risk groups for preeclampsia and timely intervention with aspirin is an effective preventive method against preeclampsia. This study aims to develop a robust and effective preeclampsia prediction model with good performance by machine learning algorithms based on maternal characteristics, biophysical and biochemical markers at 11–13 + 6 weeks’ gestation, providing an effective tool for early screening and prediction of preeclampsia. Methods: This study included 5116 singleton pregnant women who underwent PE screening and fetal aneuploidy from a prospective cohort longitudinal study in China. Maternal characterist…</t>
  </si>
  <si>
    <t>EED7BBC6-E869-4357-8C05-98B3E580C890</t>
  </si>
  <si>
    <t>li_2021</t>
  </si>
  <si>
    <t>10.1016/j.preghy.2021.10.006</t>
  </si>
  <si>
    <t>Novel electronic health records applied for prediction of pre-eclampsia: Machine-learning algorithms</t>
  </si>
  <si>
    <t>To predict risk of pre-eclampsia (PE) in women using machine learning (ML) algorithms, based on electronic health records (EHR) collected at the early second trimester.A total of 3759 cases of pregnancy who received antenatal care at Xinhua hospital Chongming branch Affiliated to Shanghai Jiaotong University were included in this retrospective EHR-based study. Thirty-eight candidate clinical parameters routinely available at the first visit in antenatal care were collected by manual chart review. Logistic regression (LR), random forest (RF), support vector machine (SVM) and extreme gradient boosting (XGBoost) were used to construct the prediction model. Features that contributed to the model predictions were identified using XGBoost.The performance of ML models to predict women at risk of …</t>
  </si>
  <si>
    <t>FE2AE10F-16A4-4908-8B9F-1F14531933C0</t>
  </si>
  <si>
    <t>limketkai_2021</t>
  </si>
  <si>
    <t>10.1007/s40137-021-00297-3</t>
  </si>
  <si>
    <t>The Age of Artificial Intelligence: Use of Digital Technology in Clinical Nutrition</t>
  </si>
  <si>
    <t>Purpose of review: Computing advances over the decades have catalyzed the pervasive integration of digital technology in the medical industry, now followed by similar applications for clinical nutrition. This review discusses the implementation of such technologies for nutrition, ranging from the use of mobile apps and wearable technologies to the development of decision support tools for parenteral nutrition and use of telehealth for remote assessment of nutrition. Recent findings: Mobile applications and wearable technologies have provided opportunities for real-time collection of granular nutrition-related data. Machine learning has allowed for more complex analyses of the increasing volume of data collected. The combination of these tools has also translated into practical clinical app…</t>
  </si>
  <si>
    <t>43D973BD-56ED-413C-A21F-5E81B9444009</t>
  </si>
  <si>
    <t>liu2022</t>
  </si>
  <si>
    <t>10.3389/fphys.2022.896969</t>
  </si>
  <si>
    <t>Machine learning-based prediction of preeclampsia using routinely collected maternal clinical characteristics: a multi-center study</t>
  </si>
  <si>
    <t>Objective: This study aimed to apply machine learning methods to analyze comprehensive clinical and laboratory data from early pregnancy prenatal screening to develop predictive models for preeclampsia (PE). Material and Methods: Retrospective data analysis was conducted using five machine learning algorithms—deep neural network (DNN), logistic regression (LR), support vector machine (SVM), decision tree (DT), and random forest (RF). Eighteen variables, including maternal characteristics, medical history, prenatal laboratory results, and ultrasound findings, were incorporated into the models. Model performance was assessed using area under the receiver operating characteristic curve (AUROC), calibration, and discrimination through cross-validation. Results: Among all algorithms, the random…</t>
  </si>
  <si>
    <t>24293E1D-463F-47E1-8537-8F1FC7E19020</t>
  </si>
  <si>
    <t>loftness2023</t>
  </si>
  <si>
    <t>10.1109/embc40787.2023.10340404</t>
  </si>
  <si>
    <t>Preterm Preeclampsia Risk Modelling: Examining Hemodynamic,  Biochemical,  and Biophysical Markers Prior to Pregnancy</t>
  </si>
  <si>
    <t>Preeclampsia (PE) is a leading cause of maternal and perinatal death globally and can lead to unplanned preterm birth. Predicting risk for preterm or early-onset PE, has been investigated primarily after conception, and particularly in the early and mid-gestational periods. However, there is a distinct clinical advantage in identifying individuals at risk for PE prior to conception, when a wider array of preventive interventions are available. In this work, we leverage machine learning techniques to identify potential pre-pregnancy biomarkers of PE in a sample of 80 women, 10 of whom were diagnosed with preterm preeclampsia during their subsequent pregnancy. We explore prospective biomarkers derived from hemodynamic, biophysical, and biochemical measurements and several modeling approaches…</t>
  </si>
  <si>
    <t>This study focuses on bio markers and not on machine learning models</t>
  </si>
  <si>
    <t>FF11762F-C9E9-4E30-8185-B58C20D0D913</t>
  </si>
  <si>
    <t>louis_2022</t>
  </si>
  <si>
    <t>10.1016/j.ajog.2022.06.038</t>
  </si>
  <si>
    <t>Preeclampsia: a report and recommendations of the workshop of the Society for Maternal-Fetal Medicine and the Preeclampsia Foundation</t>
  </si>
  <si>
    <t>Preeclampsia remains a major cause of perinatal and maternal morbidity and mortality, with its prevalence increasing over recent decades. To advance interdisciplinary collaboration and improve clinical management, the Society for Maternal-Fetal Medicine (SMFM) and the Preeclampsia Foundation co-sponsored a 2-day virtual workshop held on January 25–26, 2021, alongside the 41st Annual Pregnancy Meeting. Experts in preeclampsia research, obstetrics, primary care, cardiology, endocrinology, global health, and patient advocacy convened to address preeclampsia prediction, prevention, management, and long-term outcomes. The workshop’s objectives included: (1) presenting innovative research opportunities for preeclampsia prediction, prevention, and management; (2) reviewing benefits and challenges…</t>
  </si>
  <si>
    <t>EF02A4B3-9DFC-4021-974F-D299C19700CC</t>
  </si>
  <si>
    <t>ma_2025</t>
  </si>
  <si>
    <t>10.1186/s13040-025-00440-1</t>
  </si>
  <si>
    <t>Advancing preeclampsia prediction: a tailored machine learning pipeline integrating resampling and ensemble models for handling imbalanced medical data</t>
  </si>
  <si>
    <t>Background: Constructing a predictive model is challenging in imbalanced medical dataset (such as preeclampsia), particularly when employing ensemble machine learning algorithms. Objective: This study aims to develop a robust pipeline that enhances the predictive performance of ensemble machine learning models for the early prediction of preeclampsia in an imbalanced dataset. Methods: Our research establishes a comprehensive pipeline optimized for early preeclampsia prediction in imbalanced medical datasets. We gathered electronic health records from pregnant women at the People's Hospital of Guangxi from 2015 to 2020, with additional external validation using three public datasets. This extensive data collection facilitated the systematic assessment of various resampling techniques, varie…</t>
  </si>
  <si>
    <t>B55622F5-D1F3-4D0A-A895-015EEA22A8CA</t>
  </si>
  <si>
    <t>maheswari2024</t>
  </si>
  <si>
    <t>10.1109/icscna63714.2024.10864251</t>
  </si>
  <si>
    <t>Analysis and Detection of Preeclampsia Using Machine Learning Techniques</t>
  </si>
  <si>
    <t>Preeclampsia is a significant pregnancy complication marked by elevated blood pressure and the possibility of harm to various organs, posing risks to both the mother and the baby. Preeclampsia is a dangerous pregnancy complication that can harm other organs and raise blood pressure, endangering both the mother and the fetus. To improve outcomes for mothers and newborns, preeclampsia must be identified early and treated appropriately. This study proposes a hyperparameter-tuned K-Nearest Neighbors (KNN) classification model as a potential means of diagnosing preeclampsia. To effectively forecast the possibility of preeclampsia the model utilizes several clinical factors, such as blood pressure, body mass index (BMI), number of pregnancies, placental location, uterine artery pulsatility index…</t>
  </si>
  <si>
    <t>5E8B140F-1D85-4DD8-9F8D-EE1B689E4C87</t>
  </si>
  <si>
    <t>malakooti_2025</t>
  </si>
  <si>
    <t>10.1038/s41598-025-06651-0</t>
  </si>
  <si>
    <t>Development of a machine learning model to identify the predictors of the neonatal intensive care unit admission</t>
  </si>
  <si>
    <t>Scientists aim to create a system that can predict the likelihood of newborns being admitted to the neonatal intensive care unit (NICU) by combining various statistical methods. This prediction could potentially reduce the negative health outcomes, deaths, and medical costs associated with NICU stays by detecting potential cases early on. This study utilized a retrospective cohort design. The primary outcome of the research focused on admissions to the NICU. The real-time data of pregnant women with a cephalic presentation who gave birth between January 2020 and December 2022 were extracted from the electronic health records of Khaleej-e-Fars Hospital in Bandar Abbas, Iran. The first step of the analysis involved comparing healthy babies to those admitted to the NICU. Variables that had a …</t>
  </si>
  <si>
    <t>B847D797-A25E-486E-A1C1-A673F442AFF1</t>
  </si>
  <si>
    <t>marchandot_2024</t>
  </si>
  <si>
    <t>10.1093/eurjpc/zwae087</t>
  </si>
  <si>
    <t>Fostering cardio-endometriosis: a call to action for a comprehensive understanding of cardiovascular disease in endometriosis</t>
  </si>
  <si>
    <t>Recently, a growing body of evidence has highlighted a concerning link between endometriosis and cardiovascular disease. Endometriosis, a chronic, inflammatory, hormone-dependent condition affecting 5-10\% of reproductive-aged women worldwide, has long been associated with reproductive and gynaecological consequences. However, emerging research has suggested that it may also contribute to adverse cardiovascular outcomes. This paper aims to shed light on the importance of recognizing cardio-endometriosis as a new and developing sphere of research in the field of cardiology, thereby urging the medical community to address this pressing issue.</t>
  </si>
  <si>
    <t>Exclude/Context: Cardio-endometriosis perspective/background, not PE/HDP ML prediction.</t>
  </si>
  <si>
    <t>605B9047-2CFB-4009-88DF-7CFC31E1B1FF</t>
  </si>
  <si>
    <t>marea_2025</t>
  </si>
  <si>
    <t>10.1007/s40615-025-02487-6</t>
  </si>
  <si>
    <t>Postpartum Health Disparities During the Birth Hospitalization in the United States: A Scoping Review</t>
  </si>
  <si>
    <t>Background: Despite over 50\% of maternal deaths occurring during the postpartum period, with significant disparities for structurally marginalized people, this is an understudied period in the reproductive life course. This review aims to describe the scope of the literature on postpartum health disparities during the birth hospitalization. Methods: We searched five databases (MEDLINE\textregistered, Embase, CINAHL, Web of Science, and PsychInfo) for primary research studies in the USA in English that measured a postpartum maternal outcome during the birth hospitalization and compared the outcome across at least two groups. We excluded studies that solely examined maternal mortality or severe maternal morbidity, gray literature, and review articles. We extracted data using the National In…</t>
  </si>
  <si>
    <t>5602FC1B-F168-4517-ABBD-1B9CBE91A691</t>
  </si>
  <si>
    <t>mari__2020</t>
  </si>
  <si>
    <t>10.1016/j.ajogmf.2020.100100</t>
  </si>
  <si>
    <t>Early prediction of preeclampsia via machine learning</t>
  </si>
  <si>
    <t>Background: Early prediction of preeclampsia is challenging because of poorly understood causes, various risk factors, and likely multiple pathogenic phenotypes of preeclampsia. Statistical learning methods are well-equipped to deal with a large number of variables, such as patients' clinical and laboratory data, and to select the most informative features automatically. Objective: Our objective was to use statistical learning methods to analyze all available clinical and laboratory data that were obtained during routine prenatal visits in early pregnancy and to use them to develop a prediction model for preeclampsia. Study Design: This was a retrospective cohort study that used data from 16,370 births at Lucile Packard Children Hospital at Stanford, CA, from April 2014 to January 2018. Tw…</t>
  </si>
  <si>
    <t>0A226325-A68A-40A8-B36E-E85A5B85B4EE</t>
  </si>
  <si>
    <t>mari__2022</t>
  </si>
  <si>
    <t>10.1016/j.patter.2022.100655</t>
  </si>
  <si>
    <t>Early prediction and longitudinal modeling of preeclampsia from multiomics</t>
  </si>
  <si>
    <t>Preeclampsia is a complex disease of pregnancy whose physiopathology remains unclear. We developed machine-learning models for early prediction of preeclampsia (first 16 weeks of pregnancy) and over gestation by analyzing six omics datasets from a longitudinal cohort of pregnant women. For early pregnancy, a prediction model using nine urine metabolites had the highest accuracy and was validated on an independent cohort (area under the receiver-operating characteristic curve [AUC] = 0.88, 95% confidence interval [CI] [0.76, 0.99] cross-validated; AUC = 0.83, 95% CI [0.62,1] validated). Univariate analysis demonstrated statistical significance of identified metabolites. An integrated multiomics model further improved accuracy (AUC = 0.94). Several biological pathways were identified includi…</t>
  </si>
  <si>
    <t>111E54DB-4F10-4688-A36A-21A1E9F0A11E</t>
  </si>
  <si>
    <t>marin2019</t>
  </si>
  <si>
    <t>10.1109/ehb47216.2019.8970025</t>
  </si>
  <si>
    <t>Early Detection of Preeclampsia based on a Machine Learning Approach</t>
  </si>
  <si>
    <t>Preeclampsia is one of the death causes of pregnant women and their unborn children. Preventive measures should be taken for detecting the illness as early as possible. The current paper determines the presence of preeclampsia using a non-invasive approach. The blood pressure measurements are generated using a smart bracelet which is part of the i-bracelet Eurostars project, "Intelligent bracelet for blood pressure monitoring and detection of preeclampsia". The considered input data are the age, weight and blood pressure measurements of every pregnant woman. The prediction model comprised a series of hidden states. The Viterbi algorithm was used to determine the presence of a certain hidden state, namely preeclampsia. The accuracy, sensitivity and specificity values of the tested solution …</t>
  </si>
  <si>
    <t>44A9B7D6-B31B-4FDF-9AA2-40E3BB6A94C8</t>
  </si>
  <si>
    <t>maringhini_2024</t>
  </si>
  <si>
    <t>10.3390/biomedicines12102203</t>
  </si>
  <si>
    <t>Chronic Kidney Disease Progression—A Challenge</t>
  </si>
  <si>
    <t>Chronic kidney disease (CKD) is a progressive condition characterized by a continuous decline in renal function, independent of the initial cause of damage or external factors such as infection, inflammation, or toxins. The accurate measurement of renal function, typically assessed using the glomerular filtration rate (GFR), is crucial for managing CKD. The most accepted hypothesis for CKD progression is glomerular damage caused by hyperfiltration. Various factors can accelerate CKD progression, and several biomarkers have been identified to monitor this progression. Numerous studies have explored the risk factors associated with CKD progression, and some of these factors can be modified. Additionally, several drugs are now available that can reduce CKD progression. This review summarizes …</t>
  </si>
  <si>
    <t>E503F79B-1092-42E7-9083-138ADF31827F</t>
  </si>
  <si>
    <t>maroufi_2025</t>
  </si>
  <si>
    <t>10.1186/s12911-025-02982-0</t>
  </si>
  <si>
    <t>Post-Anesthesia Care Unit (PACU) readiness predictions using machine learning: a comparative study of algorithms</t>
  </si>
  <si>
    <t>Introduction: Accurate and timely discharge from the Post-Anesthesia Care Unit (PACU) is essential to prevent postoperative complications and optimize hospital resource utilization. Premature discharge can lead to severe issues such as respiratory or cardiovascular complications, while delays can strain hospital capacity. Machine learning algorithms offer a promising solution by leveraging large amounts of patient data to predict optimal discharge times. Unlike prior studies relying on statistical models or single-algorithm methods, this research assesses multiple ML models to predict discharge readiness, comparing them against staff evaluations and the Aldrete checklist. Methodology: We conducted a cross-sectional study of 830 patients under general anesthesia from December 2023 to April …</t>
  </si>
  <si>
    <t>29292823-2894-4FD1-BB8D-1DE0D3CC43C0</t>
  </si>
  <si>
    <t>mazur_milecka_2023</t>
  </si>
  <si>
    <t>10.1007/978-3-031-38430-1_21</t>
  </si>
  <si>
    <t>Preeclampsia Risk Prediction Using Machine Learning Methods Trained on Synthetic Data</t>
  </si>
  <si>
    <t>This paper describes a research study that investigates the use of machine learning algorithms on synthetic data to classify the risk of developing preeclampsia by pregnant women. Synthetic datasets were generated based on parameter distributions from three real patient studies. Four models were compared: XGBoost, Support Vector Machine (SVM), Random Forest, and Explainable Boosting Machines (EBM). The study found that the XGBoost and EBM consistently outperform the other models. An analysis of patient subsets based on their pregnancy history was also conducted, revealing that the group of patients in their first pregnancy achieved the highest prediction accuracy. Additionally, the study explored the efficacy of risk prediction based on various parameters and found that the results vary de…</t>
  </si>
  <si>
    <t>7C2FC6A6-F0D5-4675-A529-2D3A4CB4BD60</t>
  </si>
  <si>
    <t>memon_2022</t>
  </si>
  <si>
    <t>10.1007/s42979-022-01249-z</t>
  </si>
  <si>
    <t>Missing Data Analysis Using Statistical and Machine Learning Methods in Facility-Based Maternal Health Records</t>
  </si>
  <si>
    <t>Missing data are a rule rather than an exception in quantitative research. The questionable aspect however is the extent, pattern, mechanism, and treatment of missingness in facility-based paper maternal health records. We utilized data from maternal health records at Kawempe National Referral Hospital, Uganda. Only records of women who had given birth at the Hospital during January 2017 to January 2021 were considered. The analysis was done using R-Studio using frequency distributions, Pearson $\chi$2 Test. Treatment of missingness was done using Listwise deletion (LD), Mode Imputation, Multiple Imputation by chained equations (MICE), Imputation using K-Nearest Neighbors (KNN) and Random Forest (RF) Imputation. Performance of methods was investigated using prediction accuracy and the Krus…</t>
  </si>
  <si>
    <t>Exclude/Context: Missing data/imputation in maternal health records, not PE/HDP prediction.</t>
  </si>
  <si>
    <t>AAD932AE-EBBD-496D-97C1-CEBC5A96DEE6</t>
  </si>
  <si>
    <t>mennickent_2023</t>
  </si>
  <si>
    <t>10.3389/fendo.2023.1130139</t>
  </si>
  <si>
    <t>Machine learning applied in maternal and fetal health: a narrative review focused on pregnancy diseases and complications</t>
  </si>
  <si>
    <t>Introduction: Machine learning (ML) corresponds to a wide variety of methods that use mathematics, statistics and computational science to learn from multiple variables simultaneously. By means of pattern recognition, ML methods are able to find hidden correlations and accomplish accurate predictions regarding different conditions. ML has been successfully used to solve varied problems in different areas of science, such as psychology, economics, biology and chemistry. Therefore, we wondered how far it has penetrated into the field of obstetrics and gynecology. Aim: To describe the state of art regarding the use of ML in the context of pregnancy diseases and complications. Methodology: Publications were searched in PubMed, Web of Science and Google Scholar. Seven subjects of interest were …</t>
  </si>
  <si>
    <t>9C70879A-2AA5-41BA-9B90-CEDE800DF7C1</t>
  </si>
  <si>
    <t>mogi_2023</t>
  </si>
  <si>
    <t>10.1038/s41440-023-01398-5</t>
  </si>
  <si>
    <t>2023 Update and Perspectives</t>
  </si>
  <si>
    <t>Total 276 manuscripts were published in Hypertension Research in 2022. Here our editorial members picked up the excellent papers, summarized the current topics from the published papers and discussed future perspectives in the sixteen fields. We hope you enjoy our special feature, 2023 update and perspectives in Hypertension Research.</t>
  </si>
  <si>
    <t>A5C6A395-DBC9-42C9-9259-1F4FD2F5B4BC</t>
  </si>
  <si>
    <t>mohamed_dkeen_2025</t>
  </si>
  <si>
    <t>10.7759/cureus.83961</t>
  </si>
  <si>
    <t>Artificial Intelligence Applications in Obstetric Risk Prediction: A Systematic Review of Machine Learning Models for Preeclampsia</t>
  </si>
  <si>
    <t>Preeclampsia remains a leading cause of maternal and perinatal morbidity and mortality worldwide. While traditional prediction models have shown limited accuracy, machine learning (ML) approaches offer promising alternatives by handling complex, non-linear relationships in multidimensional datasets. This systematic review evaluates the performance, methodological quality, and clinical applicability of ML models for preeclampsia prediction. Following Preferred Reporting Items for Systematic Reviews and Meta-Analyses (PRISMA) 2020 guidelines, we searched five databases (PubMed, Embase, Scopus, Web of Science, and Cochrane Library) for studies published until April 15, 2025, and included studies that developed or validated ML models predicting preeclampsia. Risk of bias was assessed using the…</t>
  </si>
  <si>
    <t>Exclude/Context: Methodological/reporting reference; keep for Methods/Discussion, remove from RQ denominators.</t>
  </si>
  <si>
    <t>5D839E11-FAB4-4FEB-893C-63EDD23C58EC</t>
  </si>
  <si>
    <t>mohan2024</t>
  </si>
  <si>
    <t>10.1109/icaccs60874.2024.10716889</t>
  </si>
  <si>
    <t>Predicting and Monitoring of Preeclampsia: An Evaluation with Machine Learning Techniques</t>
  </si>
  <si>
    <t>Preeclampsia (PE) emerges following the first 20 weeks of pregnancy, marked by the presence of proteinuria and hypertension. This condition is linked to placental dysfunction and hypertension induced due to pregnancy. It can impact both maternal health and fetal growth, potentially leading to low birth weights - a factor contributing to the risk of neonatal mortality. Hypertensive disorders during pregnancy impact about 10% of global pregnancies. Within this examination, we delve into the involvement of Machine Learning (ML) techniques in forecasting PE. This review seeks to offer a brief summary of recent advancements in predicting, diagnosing, and monitoring PE through ML algorithms by examining the potential implications through stemming from the capability of various ML algorithms (RF,…</t>
  </si>
  <si>
    <t>Include: Ambiguous: abstract calls itself a review but also describes a proposed/executed ML model; verify whether this is a primary study before inclusion.</t>
  </si>
  <si>
    <t>8FD87B7C-5179-4D72-9ACC-4F1B95BA71DD</t>
  </si>
  <si>
    <t>mohanty_2024</t>
  </si>
  <si>
    <t>10.1007/978-981-97-7451-7_1</t>
  </si>
  <si>
    <t>Introduction to Data Mining in Reproductive Health</t>
  </si>
  <si>
    <t>Reproductive health refers to a healthy male or female reproductive system both defined by physical and mental well-being. In the past decade, research on reproductive health has been at the forefront of healthcare research due to awareness and a plethora of studies generated on the same. This chapter serves as an introduction to the process of data mining in reproductive health covering the basic methodology and applications of data mining in reproductive health. Further, the implementation of electronic health records and disease surveillance is discussed as an aid in data analytics using advanced machine learning methods. The chapter further addresses the challenges and ethical considerations associated with data quality, accessibility, and privacy in reproductive health and emphasizes …</t>
  </si>
  <si>
    <t>Exclude/Context: Introductory chapter on data mining in reproductive health, not a primary PE/HDP prediction study.</t>
  </si>
  <si>
    <t>6145CE1A-5534-442C-81AB-3A7471B4F35A</t>
  </si>
  <si>
    <t>mohsin_2025</t>
  </si>
  <si>
    <t>10.1016/j.artmed.2024.103057</t>
  </si>
  <si>
    <t>A systematic review on the roles of remote diagnosis in telemedicine system: Coherent taxonomy, insights, recommendations, and open research directions for intelligent healthcare solutions</t>
  </si>
  <si>
    <t>Background: Remote diagnosis in telemedicine refers to the process in which healthcare professionals diagnose patients remotely through telecommunications technology, enabling access to medical care for individuals in remote areas or with limited mobility. Objective: This study conducts a comprehensive literature review and analysis to (1) investigate the procedure and roles of remote diagnosis in telemedicine; (2) review technical tools and technologies used; (3) review diseases diagnosed remotely; (4) construct a crossover taxonomy linking diseases, technologies, and telemedicine tiers; (5) list input variables, vital signs, data, and output decisions applied; (6) summarize performance assessment measures; and (7) identify and categorize open research challenges with recommendations for …</t>
  </si>
  <si>
    <t>3B7E8911-8DAC-4D8F-B396-F17C5B92C287</t>
  </si>
  <si>
    <t>mol2016</t>
  </si>
  <si>
    <t>10.1016/S0140-6736(15)00070-7</t>
  </si>
  <si>
    <t>Pre-eclampsia</t>
  </si>
  <si>
    <t>Pre-eclampsia affects approximately 3–5% of pregnancies and is traditionally diagnosed by the combined presentation of hypertension and proteinuria. Newer definitions expand the diagnosis to include maternal organ dysfunction, such as renal insufficiency, hepatic involvement, neurological or hematological complications, uteroplacental dysfunction, or fetal growth restriction. When untreated, pre-eclampsia can be fatal and remains a leading cause of maternal and neonatal mortality, especially in low-resource settings. In the absence of curative treatment, management focuses on maternal and fetal stabilization and timing of delivery. Although predictive algorithms show promise, none are yet validated. Preventive strategies such as low-dose aspirin, calcium supplementation, and lifestyle modi…</t>
  </si>
  <si>
    <t>A1E46A6D-4B41-418B-B2E9-6ED9A5871F35</t>
  </si>
  <si>
    <t>montgomery_csob_n_2024</t>
  </si>
  <si>
    <t>10.1016/S2589-7500(23)00267-4</t>
  </si>
  <si>
    <t>Machine learning-enabled maternal risk assessment for women with pre-eclampsia (the PIERS-ML model): a modelling study</t>
  </si>
  <si>
    <t>Background: Affecting 2–4\% of pregnancies, pre-eclampsia is a leading cause of maternal death and morbidity worldwide. Using routinely available data, we aimed to develop and validate a novel machine learning-based and clinical setting-responsive time-of-disease model to rule out and rule in adverse maternal outcomes in women presenting with pre-eclampsia. Methods: We used health system, demographic, and clinical data from the day of first assessment with pre-eclampsia to predict a Delphi-derived composite outcome of maternal mortality or severe morbidity within 2 days. Machine learning methods, multiple imputation, and ten-fold cross-validation were used to fit models on a development dataset (75\% of combined published data of 8843 patients from 11 low-income, middle-income, and high-in…</t>
  </si>
  <si>
    <t>BFA72071-41FC-44AA-B5CF-764560897298</t>
  </si>
  <si>
    <t>moons2019</t>
  </si>
  <si>
    <t>10.7326/M18-1377</t>
  </si>
  <si>
    <t>PROBAST: Explanation and Elaboration</t>
  </si>
  <si>
    <t>Prediction models in health care estimate the likelihood that an individual currently has (diagnostic model) or will develop (prognostic model) a condition. As the number of prediction models has grown rapidly—often with multiple models addressing the same outcome—systematic reviews are increasingly necessary to assess their quality and applicability. To facilitate this, PROBAST (Prediction model Risk Of Bias ASsessment Tool) was developed through expert consensus to evaluate studies that develop, validate, or update diagnostic and prognostic prediction models. PROBAST includes 20 signaling questions across four domains: participants, predictors, outcome, and analysis. This explanation and elaboration document details the rationale behind each domain and question, guiding reviewers, resear…</t>
  </si>
  <si>
    <t>34D04111-8182-4B1A-86BD-4D159408800A</t>
  </si>
  <si>
    <t>nayak_2025</t>
  </si>
  <si>
    <t>10.1007/s42979-025-03802-y</t>
  </si>
  <si>
    <t>Diabetes Monitoring and Prediction Using Computational Intelligence Techniques: A Systematic Review</t>
  </si>
  <si>
    <t>Diabetes Mellitus (DM) is one of the most incurable and chronic diseases that poses a great hazard to human life. A person is considered diabetic when the blood glucose level of the human body rises from the normal level due to defective insulin secretion, impaired biological effects, or both. With the advancement of living standards, diabetes has affected the daily lives of humans. Therefore, rapid and accurate diagnosis and analysis of this disease is a matter of concern. The earlier the diagnosis can be conquered, the easier it is to control. Therefore, the entire research community must develop an autonomous diagnosis system using a computational intelligence approach. Furthermore, the integrated consequences of the Internet of Things (IoT) and Artificial intelligence (AI) have led to …</t>
  </si>
  <si>
    <t>305CDFC9-06FD-4CC0-A9D0-F6DE6A4A4DD2</t>
  </si>
  <si>
    <t>o_connor_2024</t>
  </si>
  <si>
    <t>10.1186/s12916-024-03489-7</t>
  </si>
  <si>
    <t>Acceptability of data linkage to identify women at risk of postnatal complication for the development of digital risk prediction tools and interventions to better optimise postnatal care, a qualitative descriptive study design</t>
  </si>
  <si>
    <t>Background: Pregnancy acts as a cardiovascular stress test. Although many complications resolve following birth, women with hypertensive disorder of pregnancy have an increased risk of developing cardiovascular disease (CVD) long-term. Monitoring postnatal health can reduce this risk but requires better methods to identity high-risk women for timely interventions. Methods: Employing a qualitative descriptive study design, focus groups and/or interviews were conducted, separately engaging public contributors and clinical professionals. Diverse participants were recruited through social media convenience sampling. Semi-structured, facilitator-led discussions explored perspectives of current postnatal assessment and attitudes towards linking patient electronic healthcare data to develop digit…</t>
  </si>
  <si>
    <t>Exclude/Context: Qualitative acceptability study about future digital risk tools; no completed prediction model.</t>
  </si>
  <si>
    <t>4A9B87EB-5056-48FC-8673-9499B75EDA4A</t>
  </si>
  <si>
    <t>oskotsky_2024</t>
  </si>
  <si>
    <t>10.1038/s44294-024-00019-x</t>
  </si>
  <si>
    <t>Data-driven insights can transform women's reproductive health</t>
  </si>
  <si>
    <t>This perspective explores the transformative potential of data-driven insights to understand and address women's reproductive health conditions. Historically, clinical studies often excluded women, hindering comprehensive research into conditions such as adverse pregnancy outcomes and endometriosis. Recent advances in technology (e.g., next-generation sequencing techniques, electronic medical records (EMRs), computational power) provide unprecedented opportunities for research in women's reproductive health. Studies of molecular data, including large-scale meta-analyses, provide valuable insights into conditions like preterm birth and preeclampsia. Moreover, EMRs and other clinical data sources enable researchers to study populations of individuals, uncovering trends and associations in wo…</t>
  </si>
  <si>
    <t>5A1A4A4D-BD86-42AD-9C53-79665EE41CEA</t>
  </si>
  <si>
    <t>parralesbravo2024</t>
  </si>
  <si>
    <t>10.1109/iceib61477.2024.10602647</t>
  </si>
  <si>
    <t>Prediction of Emergency Room Arrivals of Patients with Preeclampsia Disease Using Artificial Neural Network Model</t>
  </si>
  <si>
    <t>The administration of a country's public health is an essential issue. Conversely, preeclampsia ranks among the most frequent causes of maternal fatalities during pregnancy. Moreover, as in many nations, emergency rooms are severely overcrowded. Thus, we enhanced the management of Emergency Care for Preeclampsia at the “IESS Hospital del Día Sur Valdivia” so as not to risk the patients' lives. Techniques such as Extreme Learning Machine (ELM), Multilayer Perceptron (MLP), and Dynamic Bayesian Networks (DBN) were used to train the forecasting models. Mean Absolute Percentage Error (MAPE), Root-mean-square error (RMSE), and Mean Absolute Error (MAE) metrics were used to assess the model's performance. The model with the lowest MAPE value was chosen among the trained models. The model trained…</t>
  </si>
  <si>
    <t>Manual check: Operational forecasting of ER arrivals due to preeclampsia, not individual-level PE risk/detection; include only if scope is expanded to service-demand forecasting.</t>
  </si>
  <si>
    <t>This study predicts room occupation not preeclampsia diagnosis or complication</t>
  </si>
  <si>
    <t>14024877-D3F8-41C4-9FF5-1680BAA96EF1</t>
  </si>
  <si>
    <t>petersen2017</t>
  </si>
  <si>
    <t>10.15585/mmwr.mm6818e1</t>
  </si>
  <si>
    <t>Vital Signs: Pregnancy-Related Deaths, United States, 2011--2015, and Strategies for Prevention, 13 States, 2013--2017</t>
  </si>
  <si>
    <t>Background: Approximately 700 women die from pregnancy-related complications in the United States every year. Methods: Data from CDC’s national Pregnancy Mortality Surveillance System (PMSS) for 2011–2015 were analyzed. Pregnancy-related mortality ratios (pregnancy-related deaths per 100,000 live births; PRMRs) were calculated overall and by sociodemographic characteristics. The distribution of pregnancy-related deaths by timing relative to the end of pregnancy and leading causes of death were calculated. Detailed data on pregnancy-related deaths during 2013–2017 from 13 state maternal mortality review committees (MMRCs) were analyzed for preventability, factors that contributed to pregnancy-related deaths, and MMRC-identified prevention strategies to address contributing factors. Results:…</t>
  </si>
  <si>
    <t>Exclude/Context: Maternal mortality surveillance/background; no ML/AI model.</t>
  </si>
  <si>
    <t>76AFDA4A-A61C-4352-AB6B-AF0FB36AA230</t>
  </si>
  <si>
    <t>picot_2023</t>
  </si>
  <si>
    <t>10.1186/s13643-023-02256-8</t>
  </si>
  <si>
    <t>Risk of drug use during pregnancy: master protocol for living systematic reviews and meta-analyses performed in the metaPreg project</t>
  </si>
  <si>
    <t>Background: Knowledge about the risks of drugs during pregnancy is continuously evolving due to the frequent publication of a large number of epidemiological studies. Systematic reviews and meta-analyses therefore need to be regularly updated to reflect these advances. To improve dissemination of this updated information, we developed an initiative of real-time full-scale living meta-analyses relying on an open online dissemination platform (www.metapreg.org). Method: All living meta-analyses performed in this project will be conducted in accordance with this master protocol after adaptation of the search strategy. A systematic literature search of PubMed and Embase will be performed. All analytical studies (e.g., cohort, case-control, randomized studies) reporting original empirical findi…</t>
  </si>
  <si>
    <t>4BB990F5-2755-4BCA-906E-55143E6D9BA5</t>
  </si>
  <si>
    <t>priyanka_2023</t>
  </si>
  <si>
    <t>10.1007/978-981-99-2322-9_50</t>
  </si>
  <si>
    <t>Comparative Analysis of High-Risk Pregnancy Prediction Using Machine Learning</t>
  </si>
  <si>
    <t>Machine learning system is used in this study to estimate the risk assessment of pregnancy. Many factor caused during pregnancy is a dangerous condition that affects pregnant women as well as fetuses. Gestational diabetes (GD), high BP, PCOS, thyroid illness, and other main conditions all increase the risk. For researchers, it is difficult to predict these disorders. The analysis in this paper was done to forecast the high risk in pregnancy using machine learning approaches. The LR, RF, SVM, and KNN algorithms were computed and compared with various settings. The datasets are obtained via Kaggle and DHS. Python was used to calculate the results. The result of random forest is better than the other models like linear regression, KNN, and SVM.</t>
  </si>
  <si>
    <t>Exclude/Context: General high-risk pregnancy model using Kaggle/DHS; PE/HDP outcome not explicit.</t>
  </si>
  <si>
    <t>7B9D0A78-DA24-4EE9-B51A-18561DBCC67E</t>
  </si>
  <si>
    <t>quinney_2020</t>
  </si>
  <si>
    <t>10.1007/s10928-020-09707-y</t>
  </si>
  <si>
    <t>A pharmacometrician's role in enhancing medication use in pregnancy and lactation</t>
  </si>
  <si>
    <t>Over 200 million pregnancies occur worldwide annually, yet pregnant women have historically been excluded from clinical studies. However, pregnant women are not immune to chronic diseases (e.g., asthma, seizure disorders) or acute illnesses (e.g., infections, injuries) and often require medication treatment. Over 68% of women report taking at least one prescription drug, excluding vitamins, during pregnancy, with many taking four or more drugs. Historically, pregnant women were excluded from clinical research, leaving them as “clinical orphans.” Differences in physiology between men, nonpregnant women, and pregnant women lead to significant variations in drug distribution and response, complicating treatment extrapolations. Pharmacometrics—including pharmacokinetic/pharmacodynamic modeling…</t>
  </si>
  <si>
    <t>BB8B7BCD-675F-48D4-9F9B-4F3A5DC7459D</t>
  </si>
  <si>
    <t>rajkomar2019</t>
  </si>
  <si>
    <t>10.1056/NEJMra1814259</t>
  </si>
  <si>
    <t>Machine Learning in Medicine</t>
  </si>
  <si>
    <t>In this perspective on the future of medicine, patient–provider interactions are increasingly informed and supported by vast amounts of data derived from encounters with similar patients. These data are continuously collected, curated, and analyzed to provide the most up-to-date evidence-based assessments and recommendations, enabling more precise, personalized, and data-driven medical care.</t>
  </si>
  <si>
    <t>FEF885D0-D3CC-443A-A2FB-CF53411B03F9</t>
  </si>
  <si>
    <t>roberts2013</t>
  </si>
  <si>
    <t>10.1097/01.AOG.0000437382.03963.88</t>
  </si>
  <si>
    <t>Hypertension in Pregnancy: Report of the ACOG Task Force on Hypertension in Pregnancy</t>
  </si>
  <si>
    <t>Hypertensive disorders of pregnancy remain a major health issue for women and their infants in the United States. Preeclampsia, either alone or superimposed on pre-existing chronic hypertension, poses major risks. Appropriate prenatal care, close observation, and timely delivery remain critical for improved outcomes. Chronic hypertension is associated with fetal morbidity including growth restriction and maternal morbidity due to superimposed preeclampsia. Recent advances over the past decade have led to improved understanding and management of this condition. This report summarizes evidence-based recommendations for the diagnosis, evaluation, and management of hypertension in pregnancy, emphasizing multidisciplinary care, early recognition, and appropriate treatment to improve maternal an…</t>
  </si>
  <si>
    <t>FED1C2C6-2D5F-4486-9561-08C6BCD3070E</t>
  </si>
  <si>
    <t>roberts_2024</t>
  </si>
  <si>
    <t>10.1016/j.bpobgyn.2024.102480</t>
  </si>
  <si>
    <t>Preeclampsia epidemiology(ies) and pathophysiology(ies)</t>
  </si>
  <si>
    <t>Preeclampsia/eclampsia was first described 2000 years ago. Concepts guiding diagnosis have changed over time making longitudinal studies challenging. Similarly, concepts of pathophysiology have evolved from eclampsia as a pregnancy seizure disorder to preeclampsia as a hypertensive and renal disorder to our current concept of a preeclampsia as a pregnancy specific, multisystemic inflammatory disorder. Although preeclampsia is pregnancy specific and many pathophysiologic findings begin to resolve with delivery, its impact extends beyond pregnancy. The risk of cardiovascular and neurological disease is increased after pregnancy in women who have had preeclampsia. The disorder is not a disease, but a syndrome and emerging data indicate multiple pathways to the syndrome. It is likely that our …</t>
  </si>
  <si>
    <t>96BF7EA1-F43A-4D50-A370-F8B17629858C</t>
  </si>
  <si>
    <t>roque2024</t>
  </si>
  <si>
    <t>10.1109/icoa62581.2024.10753982</t>
  </si>
  <si>
    <t>Forecasting Risk Pregnancies in Peru using Machine Learning</t>
  </si>
  <si>
    <t>In Peru, between 2017 and 2021, there has been an upward trend in maternal deaths attributed to preeclampsia, reaching an average of 393 cases. Recognizing the importance of early detection of risks associated with preeclampsia, a predictive model was developed using machine learning techniques to forecast pregnancies at risk of preeclampsia. Six models (Support Vector Machine, C5.0 Algorithm, Classification and Regression Trees, k-Nearest Neighbors, Naive Bayes, Logistic Regression) were employed on 44,633 records analyzed from an obstetrics section located in a hospital in Peru, with 11 out of 24 variables selected, including laboratory tests. Logistic Regression demonstrated the best performance, achieving an AUC of 97.6% and an accuracy of 81.8%. This model has the potential to be impl…</t>
  </si>
  <si>
    <t>89EC3B12-0591-4D9B-95B3-FB1CC0D57BB8</t>
  </si>
  <si>
    <t>rosa_2024</t>
  </si>
  <si>
    <t>10.1007/s40292-024-00656-y</t>
  </si>
  <si>
    <t>Exploring Hypertension Patient Engagement Using mHealth. A Scoping Review</t>
  </si>
  <si>
    <t>Introduction: Widespread use of smartphone applications has opened new perspectives for home Blood Pressure monitoring based on mobile health (mHealth) technologies. Patient engagement has been dubbed ‘the silver bullet of the century'. Aim: The aim was to identify the impact of engagement in patients with blood pressure using mHealth. Methods: This scoping review was conducted in accordance with the Ark0sey and O'Malley framework. Database: Pubmed, CINAHL, Scopus and PsycInfo. This review considered both qualitative and quantitative primary searches. We excluded articles belonging to grey literature, secondary literature and paediatric setting. Between September and November 2023, the review was carried out. Results: A total of 569 documents were retrieved from the four databases. After t…</t>
  </si>
  <si>
    <t>1FAB0293-9E68-4363-8EFD-BB1AAB38E414</t>
  </si>
  <si>
    <t>salinas_2025</t>
  </si>
  <si>
    <t>10.3390/biomedicines13061483</t>
  </si>
  <si>
    <t>An Explainable Fuzzy Framework for Assessing Preeclampsia Classification</t>
  </si>
  <si>
    <t>Background: Preeclampsia remains a leading cause of maternal morbidity worldwide. There is a critical need for predictive systems that not only perform accurately but also provide interpretable insights for clinical decision-making. This work introduces SK-MOEFS, an explainable framework based on fuzzy logic and multi-objective evolutionary optimization, designed to classify preeclampsia risk while generating clinically interpretable rules. Methods: The model integrates fuzzy decision trees with a genetic algorithm to identify a compact and relevant set of rules, optimized for both accuracy and interpretability. The system was trained and evaluated on third-trimester pregnancy data from a publicly available, multi-ethnic cohort comprising 574 individuals. All processes, including preproces…</t>
  </si>
  <si>
    <t>063C8481-829E-43EF-A661-9ACF1C98F0C5</t>
  </si>
  <si>
    <t>salmeri_2023</t>
  </si>
  <si>
    <t>10.1186/s12884-023-05864-3</t>
  </si>
  <si>
    <t>Commentary: Predicting adverse outcomes in pregnant patients positive for SARS-CoV-2 by a machine learning approach</t>
  </si>
  <si>
    <t>SARS-CoV-2 infection poses a significant risk increase for adverse pregnancy outcomes both from maternal and fetal sides. A recent publication in BMC Pregnancy and Childbirth presented a machine learning algorithm to predict this risk. This commentary will discuss potential implications and applications of this study for future global health policies.</t>
  </si>
  <si>
    <t>1D9DF952-B8C2-4FE4-9CAF-4726459D0284</t>
  </si>
  <si>
    <t>scala2021</t>
  </si>
  <si>
    <t>ACM</t>
  </si>
  <si>
    <t>10.1145/3472813.3472816</t>
  </si>
  <si>
    <t>Assessment of proteinuria level in nephrology patients using a machine learning approach</t>
  </si>
  <si>
    <t>Proteinuria represents an increase in the urinary excretion of proteins. It could also follow kidney transplantation and affects more than 40% of kidney transplant patients per year. It results from protein increases in their filtered load, due to alterations in the selectivity of the glomerular capillary wall, or from defects in their tubular uptake. Different parameters are associated with the various stages of proteinuria and therefore allow characterizing of its severity. For this purpose, the variation of proteinuria was evaluated by loading input two parameters: glycemia and the blood level of the m-Tor inhibitor. Through combination of data with different machine learning algorithms, the goal of this research work was to evaluate how blood glucose values and the use of immunosuppres…</t>
  </si>
  <si>
    <t>EB778AD5-F292-450B-931F-99B68128C6D7</t>
  </si>
  <si>
    <t>schmidt_2022</t>
  </si>
  <si>
    <t>10.1016/j.ajog.2022.01.026</t>
  </si>
  <si>
    <t>A machine-learning–based algorithm improves prediction of preeclampsia-associated adverse outcomes</t>
  </si>
  <si>
    <t>Background: Preeclampsia presents a highly prevalent burden on pregnant women with an estimated incidence of 2\% to 5\%. Preeclampsia increases the maternal risk of death 20-fold and is one of the main causes of perinatal morbidity and mortality. Novel biomarkers, such as soluble fms-like tyrosine kinase-1 and placental growth factor in addition to a wide span of conventional clinical data (medical history, physical symptoms, laboratory parameters, etc.), present an excellent basis for the application of early-detection machine-learning models. Objective: This study aimed to develop, train, and test an automated machine-learning model for the prediction of adverse outcomes in patients with suspected preeclampsia. Study Design: Our real-world dataset of 1647 (2472 samples) women was retrosp…</t>
  </si>
  <si>
    <t>89C42E2E-F181-4CEC-B359-A3DCFB63B622</t>
  </si>
  <si>
    <t>sendak2020</t>
  </si>
  <si>
    <t>10.33590/emjinnov/19-00172</t>
  </si>
  <si>
    <t>A Path for Translation of Machine Learning Products into Healthcare Delivery</t>
  </si>
  <si>
    <t>Despite enormous enthusiasm, machine learning models are rarely translated into clinical care and there is minimal evidence of clinical or economic impact. New conference venues and academic journals have emerged to promote the proliferating research; however, the translational path remains unclear. This review undertakes the first in-depth study to identify how machine learning models that ingest structured electronic health record data can be applied to clinical decision support tasks and translated into clinical practice. The authors complement their own work with the experience of 21 machine learning products that address problems across clinical domains and across geographic populations. Four phases of translation emerge: design and develop, evaluate and validate, diffuse and scale, a…</t>
  </si>
  <si>
    <t>5E586C33-93FF-4955-A9E4-EEEBE03002FB</t>
  </si>
  <si>
    <t>shabani_2025</t>
  </si>
  <si>
    <t>10.1186/s12978-025-02048-4</t>
  </si>
  <si>
    <t>Developing and validating an artificial intelligence-based application for predicting some pregnancy outcomes: a multi-phase study protocol</t>
  </si>
  <si>
    <t>Background: Pregnancy complications such as preterm birth, low birth weight, gestational diabetes mellitus, preeclampsia, and intrauterine growth restriction significantly affect both maternal and neonatal health outcomes. Early identification of high-risk pregnancies is essential for timely interventions; however, traditional predictive models often lack accuracy. This study aims to develop and validate an AI-based application to improve risk assessment and clinical decision-making regarding pregnancy outcomes through a multi-phase approach. Methods: This study comprises three phases. In Phase 1, retrospective case-control data will be collected from medical records, including Mother and Infant System (IMaN), Hospital Information System (HIS), and archived records of women who gave birth …</t>
  </si>
  <si>
    <t>Exclude/Context: Protocol/planned study; no completed model results to map.</t>
  </si>
  <si>
    <t>The study focuses in several complications of pregnancy and not preeclampsia only</t>
  </si>
  <si>
    <t>3ADF8217-4672-4C34-B2DC-1D18D182F98A</t>
  </si>
  <si>
    <t>sharma_2021</t>
  </si>
  <si>
    <t>10.1007/978-3-030-92604-5_27</t>
  </si>
  <si>
    <t>Machine Learning Applied to Internet of Things Applications: A Survey</t>
  </si>
  <si>
    <t>Internet of things (IoT) is steadily increasing its presence across multiple areas. Its impact is very significant in various application areas like agriculture, healthcare, smart cities and other. Also, Machine Learning (ML) on the other side is getting similar attention and has been used in various sectors as a tool, popularly in areas like object detection, traffic prediction, health condition prediction and other. Thus, many studies have been done combining both IoT and ML together to perform specific application – about how to improve the outcome of IoT systems with the use of ML. This paper surveys the use of ML in selected IoT areas, listing various applications and describes what ML approach is used for each of the area and application.</t>
  </si>
  <si>
    <t>E856EB04-11E7-4AE6-8C25-6124E7252638</t>
  </si>
  <si>
    <t>shickel2018</t>
  </si>
  <si>
    <t>10.1109/JBHI.2017.2767063</t>
  </si>
  <si>
    <t>Deep EHR: A Survey of Recent Advances in Deep Learning Techniques for Electronic Health Record (EHR) Analysis</t>
  </si>
  <si>
    <t>The past decade has seen an explosion in the amount of digital information stored in electronic health records (EHRs). While primarily designed for archiving patient information and performing administrative healthcare tasks like billing, many researchers have found secondary use of these records for various clinical informatics applications. Over the same period, the machine learning community has seen widespread advances in the field of deep learning. In this review, we survey the current research on applying deep learning to clinical tasks based on EHR data, where we find a variety of deep learning techniques and frameworks being applied to several types of clinical applications including information extraction, representation learning, outcome prediction, phenotyping, and deidentificat…</t>
  </si>
  <si>
    <t>D700387D-EDD5-42B7-832A-6D5D6FE8ECB8</t>
  </si>
  <si>
    <t>simbolon2020</t>
  </si>
  <si>
    <t>10.1109/ccs49175.2020.9231400</t>
  </si>
  <si>
    <t>Predicting the Risk of Preeclampsia using Soft Voting-based Ensemble and Its Recommendation</t>
  </si>
  <si>
    <t>Preeclampsia is one of the leading causes of maternal deaths and pregnancy-related complications in many low-income countries. Factors related to preeclampsia include lack of prenatal care and access to medical services, lack of facilities, and inadequate diagnosis and treatment of preeclampsia patients. Early detection and prompt treatment of preeclampsia are essential for the prevention of eclampsia and other life-threatening complications. Several studies have developed the risk prediction models for preeclampsia using mobile applications and machine learning techniques. The use of a soft voting-based ensemble method and recommendation system for women at high risk of preeclampsia remains unexplored. We developed a mobile application with two functionalities of preeclampsia prediction a…</t>
  </si>
  <si>
    <t>A7C2076B-6A7B-41BD-BDB0-7BB5C29B57DC</t>
  </si>
  <si>
    <t>soni_2025</t>
  </si>
  <si>
    <t>10.1007/s42452-025-07390-7</t>
  </si>
  <si>
    <t>Light-GBM based minority oversampling model using biomedical data analysis for breast cancer classification</t>
  </si>
  <si>
    <t>The yearly incidence of breast cancer, which is already among the highest of all cancers, is steadily rising. Without surgical biopsy, predicting the benign or malignant nature of tumors by analyzing various indicators of cell nuclei can effectively assist doctors in diagnosis and reduce patients' suffering. Research continuously shows that LightGBM hybrid models outperform conventional classifiers in terms of accuracy. With improvements in accuracy, speed, and efficiency, LightGBM-based hybrid models frequently outperform baseline or standard classifiers. A model for the identification of breast cancer based on the lightweight gradient boosting machine (GBM) algorithm. To address the problem of skewed diagnostic data for breast cancer, the Borderline-SMOTE method is used. In the Sparrow S…</t>
  </si>
  <si>
    <t>8747DCC8-D911-4D58-9B43-AEA4C7524123</t>
  </si>
  <si>
    <t>soundararajan_2024</t>
  </si>
  <si>
    <t>10.1016/j.bpobgyn.2024.102525</t>
  </si>
  <si>
    <t>Pre-eclampsia challenges and care in low and middle-income countries: Understanding diagnosis, management, and health impacts in remote and developing regions</t>
  </si>
  <si>
    <t>As an example of a low- and middle-income country (LMIC), India ranks pre-eclampsia among the top three causes of maternal mortality, following haemorrhage and infections. It is one of the primary concerns for maternal and perinatal health in LMICs. Many LMICs lack clear consensus and guidelines for the prevention, diagnosis, and management of hypertensive disorders in pregnancy, including pre-eclampsia. The International Society for the Study of Hypertension in Pregnancy 2021 guidelines address LMIC applications, offering customisable solutions. Atypical presentations of pre-eclampsia contribute to diagnostic delays, resulting in additional adverse maternal and perinatal outcomes. Implementing management strategies faces challenges in both urban and rural settings. Adapting global researc…</t>
  </si>
  <si>
    <t>0CE9407C-2A50-4B42-B99C-87FB1809088B</t>
  </si>
  <si>
    <t>srialluri_2023</t>
  </si>
  <si>
    <t>10.1053/j.ajkd.2023.04.010</t>
  </si>
  <si>
    <t>Preeclampsia and Long-term Kidney Outcomes: An Observational Cohort Study</t>
  </si>
  <si>
    <t>Rationale &amp; Objective: Preeclampsia is a pregnancy-related complication characterized by acute hypertension and end-organ dysfunction. This study evaluated the long-term association between preeclampsia and the risk of developing chronic hypertension and kidney disease. Study Design: Observational cohort study. Setting &amp; Participants: 27,800 adults with deliveries in the Geisinger Health System between 1996 and 2019. Exposure: Preeclampsia. Outcome: Hypertension, reduced estimated glomerular filtration rate (eGFR &lt;60 mL/min/1.73m2), and albuminuria &gt;300 mg/g. Analytical Approach: Propensity-score matching and Cox proportional hazards models were used to evaluate associations between preeclampsia and incident hypertension, reduced eGFR, and albuminuria. Results: Among 27,800 adults (mean ag…</t>
  </si>
  <si>
    <t>Exclude/Context: PE-related observational cohort on kidney outcomes; no ML/AI prediction model.</t>
  </si>
  <si>
    <t>7DCF53FB-4C4D-4109-AE07-9B8ECB6D05F4</t>
  </si>
  <si>
    <t>stanski_2023</t>
  </si>
  <si>
    <t>10.1007/s00134-023-07171-z</t>
  </si>
  <si>
    <t>Precision management of acute kidney injury in the intensive care unit: current state of the art</t>
  </si>
  <si>
    <t>Acute kidney injury (AKI) is a prototypical example of a common syndrome in critical illness defined by consensus. The consensus definition for AKI, traditionally defined using only serum creatinine and urine output, was needed to standardize the description for epidemiology and to harmonize eligibility for clinical trials. However, AKI is not a simple disease, but rather a complex and multi-factorial syndrome characterized by a wide spectrum of pathobiology. AKI is now recognized to be comprised of numerous sub-phenotypes that can be discriminated through shared features such as etiology, prognosis, or common pathobiological mechanisms of injury and damage. The characterization of sub-phenotypes can serve to enable prognostic enrichment (i.e., identify subsets of patients more likely to s…</t>
  </si>
  <si>
    <t>D4112EAB-EE48-49D6-B2CA-8D2E1E14E6C9</t>
  </si>
  <si>
    <t>stevenson_2024</t>
  </si>
  <si>
    <t>10.1038/s41372-024-02183-z</t>
  </si>
  <si>
    <t>Towards a new taxonomy of preterm birth</t>
  </si>
  <si>
    <t>Disease categories traditionally reflect a historical clustering of clinical phenotypes based on biologic and nonbiologic features. Multiomics approaches have striven to identify signatures to develop individualized categorizations through tests and/or therapies for ‘personalized' medicine. Precision health classifies clinical syndromes into endotype clusters based on novel technological advancements, which can reveal insights into the etiologies of phenotypical syndromes. A new taxonomy of preterm birth should be considered in this context, as not all preterm infants of similar gestational ages are the same because most have different biologic vulnerabilities and hence different health trajectories. Even the choice of interventions may affect observed clinical conditions. Thus, a new taxo…</t>
  </si>
  <si>
    <t>Exclude/Context: Preterm birth taxonomy article, not PE/HDP ML prediction.</t>
  </si>
  <si>
    <t>D40AD96E-DC1B-49CD-8852-52EEBC6992DB</t>
  </si>
  <si>
    <t>subhashini_2024</t>
  </si>
  <si>
    <t>10.1007/978-981-97-8422-6_41</t>
  </si>
  <si>
    <t>Maternal Health Risk Analysis and Classification Using Random Forest Model with Hyperparameter Tuning</t>
  </si>
  <si>
    <t>The health of moms is an important part of public health because it affects both their own health and the health of their children in the long run. Assessing the health risk of a mother can be made easier with the help of predictive analytics. This helps doctors find high-risk pregnancies and act on them quickly, which leads to better health results. In this work, we suggest a new way to look at the risk to a mother's health by using the Random Forest algorithm and adjusting the hyperparameters. Random Forest works by using random parts of the data and traits to build various decision trees. Each tree guesses the target label on its own, and the final prediction is made by voting (classification) or average (regression) the results, which makes for more accurate and reliable forecasts. The…</t>
  </si>
  <si>
    <t>2CBAF33F-08E6-4555-97B0-7C52946EBC73</t>
  </si>
  <si>
    <t>the_world_heart_federation__2023</t>
  </si>
  <si>
    <t>10.5334/gh.1165</t>
  </si>
  <si>
    <t>Abstracts from the World Congress of Cardiology/Brazilian Congress of Cardiology 2022</t>
  </si>
  <si>
    <t>These are the abstracts from the combined 77th Brazilian Congress of Cardiology, together with the World Congress of Cardiology, held in October 2022. From 1950 to today, the World Heart Federation’s World Congress of Cardiology (WCC) has been a key event on the cardiovascular calendar, offering a global perspective on cardiovascular health and bringing together thousands of cardiology professionals from all over the world with one common goal: to reduce the global burden of cardiovascular disease and help people live longer, healthier lives.</t>
  </si>
  <si>
    <t>F61B4E86-C031-4F0B-ACCD-C376AA652BF7</t>
  </si>
  <si>
    <t>tiruneh2025</t>
  </si>
  <si>
    <t>10.1016/j.compbiomed.2025.110183</t>
  </si>
  <si>
    <t>Temporal validation of machine learning models for prediction of pre-eclampsia using routinely collected antenatal data</t>
  </si>
  <si>
    <t>Highlights: This study proposes a simple pre-eclampsia (PE) screening model suitable for real-world implementation, particularly in low-income settings. It addresses key limitations of prior research, emphasizing public health applicability. The logistic regression model is recommended for use as part of a two-stage universal PE screening approach. Background: Preeclampsia accounts for over a quarter of maternal deaths and half a million newborn deaths annually worldwide. Early screening and timely intervention are critical to reduce its incidence and complications. This study aimed to temporally validate three previously developed models (two machine learning and one logistic regression) in the same region and to compare their predictive performances. Methods: A dataset comprising routine…</t>
  </si>
  <si>
    <t>5CAFC8D7-DEDD-4705-A1E6-3EAC7254F93E</t>
  </si>
  <si>
    <t>tiruneh_2024</t>
  </si>
  <si>
    <t>10.1016/j.ijmedinf.2024.105645</t>
  </si>
  <si>
    <t>Prediction of pre-eclampsia with machine learning approaches: Leveraging important information from routinely collected data</t>
  </si>
  <si>
    <t>Background: Globally, pre-eclampsia (PE) is a leading cause of maternal and perinatal morbidity and mortality. PE prediction using routinely collected data has the advantage of being widely applicable, particularly in low-resource settings. Early intervention for high-risk women might reduce PE incidence and related complications. We aimed to replicate our machine learning (ML) published work predicting another maternal condition (gestational diabetes) to (1) predict PE using routine health data, (2) identify the optimal ML model, and (3) compare it with logistic regression approach. Methods: Data were from a large health service network with 48,250 singleton pregnancies between January 2016 and June 2021. Supervised ML models were employed. Maternal clinical and medical characteristics we…</t>
  </si>
  <si>
    <t>0B8BB8AE-3403-4930-BC26-39F9ED38C215</t>
  </si>
  <si>
    <t>tissot_2021</t>
  </si>
  <si>
    <t>10.1007/s41666-021-00096-6</t>
  </si>
  <si>
    <t>Improving Risk Assessment of Miscarriage During Pregnancy with Knowledge Graph Embeddings</t>
  </si>
  <si>
    <t>Miscarriages are the most common type of pregnancy loss, mostly occurring in the first 12 weeks of pregnancy. Pregnancy risk assessment aims to quantify evidence to reduce such maternal morbidities, and personalized decision support systems are the cornerstone of high-quality, patient-centered care to improve diagnosis, treatment selection, and risk assessment. However, data sparsity and the increasing number of patient-level observations require more effective forms of representing clinical knowledge to encode known information that enables performing inference and reasoning. Whereas knowledge embedding representation has been widely explored in the open domain data, there are few efforts for its application in the clinical domain. In this study, we contrast differences among multiple emb…</t>
  </si>
  <si>
    <t>1E0F99AB-2F7E-409C-9A90-C6CB5B55BD54</t>
  </si>
  <si>
    <t>torres2024</t>
  </si>
  <si>
    <t>10.1002/uog.27510</t>
  </si>
  <si>
    <t>Performance of a machine-learning approach for the prediction of pre-eclampsia in a middle-income country</t>
  </si>
  <si>
    <t>Objective: Pre-eclampsia (PE) is a serious complication of pregnancy associated with maternal and fetal morbidity and mortality. As current prediction models have limitations and may not be applicable in resource-limited settings, this study aimed to develop a machine-learning (ML) algorithm for accurate and efficient first-trimester prediction of PE. Methods: A prospective cohort study was conducted in Mexico City, using maternal characteristics and locally derived multiples of the median (MoM) for mean arterial pressure (MAP), uterine artery pulsatility index (UtA-PI), and serum placental growth factor (PlGF). Data were divided into training, validation, and test sets. The elastic-net method was used for variable selection, and model performance was assessed by the area under the receive…</t>
  </si>
  <si>
    <t>E752A3B3-01CC-4480-A532-AFAFD7D705E1</t>
  </si>
  <si>
    <t>turkson_ocran_2024</t>
  </si>
  <si>
    <t>10.1007/s12170-024-00750-9</t>
  </si>
  <si>
    <t>Hypertension Management to Reduce Racial/Ethnic Disparities: Clinical and Community-Based Interventions</t>
  </si>
  <si>
    <t>Purpose of the Review: Hypertension remains a major public health concern globally and in the United States with significant racial/ethnic disparities in prevalence, treatment, and control. Despite effective treatments, undiagnosed or uncontrolled hypertension persists, leading to an increased risk of cardiovascular disease and substantial healthcare costs. Addressing hypertension disparities requires a comprehensive approach, integrating clinical interventions with community-based strategies. This review examines the current landscape of clinic-and community-based interventions designed to improve hypertension management and reduce disparities. Recent Findings: Clinic-based approaches highlighted include implementing evidence-based guidelines, using treatment algorithms, promoting self-ma…</t>
  </si>
  <si>
    <t>645607AE-D040-4A7B-9A26-0123E16EF6D4</t>
  </si>
  <si>
    <t>wang2023fgr</t>
  </si>
  <si>
    <t>10.31083/j.ceog5008172</t>
  </si>
  <si>
    <t>A New XGBoost Algorithm Based Prediction Model for Fetal Growth Restriction in Patients with Preeclampsia</t>
  </si>
  <si>
    <t>Background: To construct a predictive model for fetal growth restriction (FGR) in preeclampsia (PE) patients using extreme Gradient Boosting (XGBoost) algorithm.     Methods: A prospective study was conducted in the Obstetrics Department of Wuming Hospital from October 1, 2016, to October 1, 2021. A total of 303 preeclampsia patients were divided into two groups based on FGR status (restricted vs. unrestricted group). The clinical data and laboratory indicators between the two groups were compared. Logistic multivariate analysis and the XGBoost algorithm model were used to identify the risk factors for FGR in preeclampsia. Moreover, we used the receiver operating characteristic (ROC) curve to verify the accuracy of the XGBoost algorithm model.     Results: Multivariate analysis and XGBoost…</t>
  </si>
  <si>
    <t>Study focuses on fetal growth, not preeclampsia</t>
  </si>
  <si>
    <t>C7907F04-4D33-47EB-B11B-8DDE65A4AD6F</t>
  </si>
  <si>
    <t>wang_2024</t>
  </si>
  <si>
    <t>10.31083/j.ceog5103060</t>
  </si>
  <si>
    <t>Postpartum Haemorrhage Risk Prediction Model Developed by Machine Learning Algorithms: A Single-Centre Retrospective Analysis of Clinical Data</t>
  </si>
  <si>
    <t>Background: Postpartum haemorrhage (PPH) is a serious complication and a cause of maternal mortality after delivery. This study used machine learning algorithms and new feature selection methods to build an efficient PPH risk prediction model and provided new ideas and reference methods for PPH risk management. Methods: The clinical data of women who gave birth at Wenzhou People's Hospital from 1 January 2021, to 30 March 2022, were retrospectively analysed, and the women were divided into a high haemorrhage group (337 patients) and a low haemorrhage group (431 patients) based on the amount of blood loss. Machine learning algorithms were used to identify the features associated with postpartum haemorrhage from multiple clinical variables using feature selection methods, such as recursive f…</t>
  </si>
  <si>
    <t>3205DB4C-471C-4B93-AD72-F9BD464FDDAE</t>
  </si>
  <si>
    <t>wanriko2021</t>
  </si>
  <si>
    <t>10.1109/ectidamtncon51128.2021.9425764</t>
  </si>
  <si>
    <t>Risk Assessment of Pregnancy-induced Hypertension Using a Machine Learning Approach</t>
  </si>
  <si>
    <t>This research aimed to develop a predictive model of the risk assessment of pregnancy-induced hypertension using a machine learning approach. Pregnancy-induced hypertension is a complication that has a serious impact on pregnant women and fetuses. It is the world's top three cause of death among pregnant women [1]. Nowadays, the exact cause of pregnancy-induced hypertension is unknown and therefore cannot be prevented. Early detection and received treatment can reduce the severity and danger. A public dataset of Logan (2020) was used in this research [2]. The dataset was collected from a casecontrol study on the determinants of 83 pre-eclampsia and five eclampsia cases among 352 pregnant women delivering in county hospitals in Nairobi, Kenya. According to the dataset, 75 percent of the pre…</t>
  </si>
  <si>
    <t>58D356E8-F488-48C4-8DE6-0911B17783E1</t>
  </si>
  <si>
    <t>wolff2019</t>
  </si>
  <si>
    <t>10.7326/M18-1376</t>
  </si>
  <si>
    <t>PROBAST: A Tool to Assess the Risk of Bias and Applicability of Prediction Model Studies</t>
  </si>
  <si>
    <t>Clinical prediction models integrate multiple predictors to estimate the risk of a condition (diagnostic models) or a future event (prognostic models). PROBAST (Prediction model Risk Of Bias ASsessment Tool) was developed to assess the risk of bias (ROB) and applicability of diagnostic and prognostic prediction model studies. Created through a Delphi process with 38 experts, PROBAST is organized into four domains—participants, predictors, outcome, and analysis—comprising 20 signaling questions to guide structured evaluation. The tool defines risk of bias as systematic distortion in predictive performance due to flaws in study design, conduct, or analysis. While initially designed for systematic reviews, PROBAST can also be applied in general critical appraisal of prediction model studies. …</t>
  </si>
  <si>
    <t>3F764E83-488C-4937-A053-9C403A4AD47E</t>
  </si>
  <si>
    <t>xu_2025</t>
  </si>
  <si>
    <t>10.1186/s12884-025-07892-7</t>
  </si>
  <si>
    <t>Organ-system-based subclassification of preeclampsia using machine learning predicts pregnancy outcomes</t>
  </si>
  <si>
    <t>Background: Preeclampsia (PE) is a complex disorder with significant variability in organ involvement. It remains unclear whether machine learning can identify organ-system-based subclasses of PE. This study aimed to identify novel subclasses of PE using organ-system biomarkers to improve pregnancy outcome prediction. Methods: We retrospectively analyzed clinical data from PE patients at Fujian Maternity and Child Health Hospital. K-means clustering was applied using organ system function indicators, with 10-fold cross-validation. Functional indicators and pregnancy outcomes were compared across subclasses. Heatmap and sankey diagrams were used to reveal the distribution of patients across combined organ system clusters. Results: The analysis included 7,531 PE patients treated between 2013…</t>
  </si>
  <si>
    <t>The study does not focus on predicting pregnancy outcomes. It rather goes into systemic or organic problems derived from preeclampsia. The study may use Preeclampsia not as a target variable but as a feature characteristic.</t>
  </si>
  <si>
    <t>ACF67F0B-BD8A-43D2-BD15-27E2347AD1D0</t>
  </si>
  <si>
    <t>yang_2025</t>
  </si>
  <si>
    <t>10.1038/s41467-025-58437-7</t>
  </si>
  <si>
    <t>Predicting interval from diagnosis to delivery in preeclampsia using electronic health records</t>
  </si>
  <si>
    <t>Preeclampsia is a major cause of maternal and perinatal mortality with no known cure. Delivery timing is critical to balancing maternal and fetal risks. We develop and externally validate PEDeliveryTime, a class of clinically informative models which resulted from deep-learning models, to predict the time from PE diagnosis to delivery using electronic health records. We build the models on 1533 PE cases from the University of Michigan and validate it on 2172 preeclampsia cases from the University of Florida. PEDeliveryTime full model contains only 12 features yet achieves high c-index of 0.79 and 0.74 on the Michigan and Florida data set respectively. For the early-onset preeclampsia subset, the full model reaches 0.76 and 0.67 on the Michigan and Florida test sets. Collectively, these mod…</t>
  </si>
  <si>
    <t>This study could be excluded. The target variable is time. Not Preeclampsia.</t>
  </si>
  <si>
    <t>699E2EE8-1962-4696-AA12-A70F760CF0E6</t>
  </si>
  <si>
    <t>youssef_2024</t>
  </si>
  <si>
    <t>10.1016/j.bpobgyn.2023.102427</t>
  </si>
  <si>
    <t>10. Role of high dimensional technology in preeclampsia (omics in preeclampsia)</t>
  </si>
  <si>
    <t>Preeclampsia is a pregnancy-specific disease that has no known precise cause. Integrative biology approach based on multi-omics has been applied to identify upstream pathways and better understand the pathophysiology of preeclampsia. At DNA level, genomics and epigenomics studies have revealed numerous genetic variants associated with preeclampsia, including those involved in regulating blood pressure and immune response. Transcriptomics analyses have revealed altered expression of genes in preeclampsia, particularly those related to inflammation and angiogenesis. At protein level, proteomics studies have identified potential biomarkers for preeclampsia diagnosis and prediction in addition to revealing the main pathophysiological pathways involved in this disease. At metabolite level, meta…</t>
  </si>
  <si>
    <t>1210D74F-49CB-47B7-A7A7-EB9E62F26F85</t>
  </si>
  <si>
    <t>zambrano_santos_2025</t>
  </si>
  <si>
    <t>10.56294/saludcyt20251531</t>
  </si>
  <si>
    <t>Predictive Technology in Maternal Health: artificial Intelligence Models for the Identification of Obstetric Risks</t>
  </si>
  <si>
    <t>Introduction: obstetric complications are one of the leading causes of maternal morbidity and mortality worldwide. Artificial intelligence (AI) has proven to be an effective tool for predicting obstetric risks, enabling timely interventions. However, its implementation in countries with limited healthcare infrastructure remains a challenge. Method: a predictive AI-based model was developed using clinical data from 2 500 pregnant women treated in Ecuadorian hospitals. Logistic regression, neural networks, and random forest algorithms were evaluated to predict complications such as preeclampsia, preterm birth, and gestational diabetes. Cross-validation techniques and inferential statistical analyses were applied. Results: neural networks demonstrated the best performance, with an accuracy of…</t>
  </si>
  <si>
    <t>Preeclampsia is one of the many classes predicted by the study's model. It could be rejected if more interest to predict PE specifically or its complications</t>
  </si>
  <si>
    <t>FD3AD070-2567-4280-83C6-38F66F0EC6A7</t>
  </si>
  <si>
    <t>zheutlin_2021</t>
  </si>
  <si>
    <t>10.1093/jamia/ocab161</t>
  </si>
  <si>
    <t>Improving postpartum hemorrhage risk prediction using longitudinal electronic medical records</t>
  </si>
  <si>
    <t>Objective: Postpartum hemorrhage (PPH) remains a leading cause of preventable maternal mortality in the United States. We sought to develop a novel risk assessment tool and compare its accuracy to tools used in current practice. Materials and Methods: We used a PPH digital phenotype that we developed and validated previously to identify 6639 PPH deliveries from our delivery cohort (N = 70 948). Using a vast array of known and potential risk factors extracted from electronic medical records available prior to delivery, we trained a gradient boosting model in a subset of our cohort. In a held-out test sample, we compared performance of our model with 3 clinical risk-assessment tools and 1 previously published model. Results: Our 24-feature model achieved an area under the receiver-operating …</t>
  </si>
  <si>
    <t>Columna1</t>
  </si>
  <si>
    <t>MP</t>
  </si>
  <si>
    <t>doi: 10.1007/s11606-013-2436-y
https://pmc.ncbi.nlm.nih.gov/articles/PMC3654146/pdf/11606_2013_Article_2436.pdf</t>
  </si>
  <si>
    <t>study not focused on preeclampsia prediction</t>
  </si>
  <si>
    <t xml:space="preserve">Exclude
</t>
  </si>
  <si>
    <t>This is a machine learning study on renal failure, using: Dataset: MIMIC-IV</t>
  </si>
  <si>
    <t>predict preeclampsia from electrocardiograms (ECGs) in point-of-care settings</t>
  </si>
  <si>
    <t>care topics such as fertility, preeclampsia, labor onset, vaginal birth after cesarean, uterine rupture, induction outcomes, postpartum hemorrhage, and postpartum mood disorders</t>
  </si>
  <si>
    <t>Other
AI/ML study not focused on preeclampsia prediction</t>
  </si>
  <si>
    <t>Not AI/ML-based preeclampsia prediction study</t>
  </si>
  <si>
    <t>Preeclampsia-related but not AI/ML prediction focused</t>
  </si>
  <si>
    <t>AI/ML study not focused on preeclampsia prediction
This study aimed to develop and validate a predictive algorithm for maternal postpartum readmission from complications of hypertensive disorders of pregnancy using machine learning</t>
  </si>
  <si>
    <t>AI/ML study not focused on preeclampsia prediction</t>
  </si>
  <si>
    <t>AI/ML prediction model for preeclampsia or related obstetric risk</t>
  </si>
  <si>
    <t>https://doi.org/10.1038/s41598-022-15391-4</t>
  </si>
  <si>
    <t>Clinical guidelines recommend several risk factors to identify women in early pregnancy at high risk of developing pregnancy‑associated hypertension. However, these variables result in low predictive accuracy. Here, we developed a prediction model for pregnancy‑associated hypertension using graph‑based semi‑supervised learning. This is a secondary analysis of a prospective study of healthy pregnant women. To develop the prediction model, we compared the prediction performances across five machine learning methods (semi‑supervised learning with both labeled and unlabeled data, semi‑supervised learning with labeled data only, logistic regression, support vector machine, and random
forest) using three different variable sets: [a] variables from clinical guidelines, [b] selected important variables from the feature selection, and [c] all routine variables. Additionally, the proposed prediction model was compared with placental growth factor, a predictive biomarker for pregnancy‑associated hypertension. The study population consisted of 1404 women, including 1347 women with complete follow‑up (labeled data) and 57 women with incomplete follow‑up (unlabeled data). Among the 1347 with complete follow‑up, 2.4% (33/1347) developed pregnancy‑associated HTN. Graph‑based semi‑supervised learning using top 11 variables achieved the best average prediction performance (mean
area under the curve (AUC) of 0.89 in training set and 0.81 in test set), with higher sensitivity (72.7% vs 45.5% in test set) and similar specificity (80.0% vs 80.5% in test set) compared to risk factors from clinical guidelines. In addition, our proposed model with graph‑based SSL had a higher performance than that of placental growth factor for total study population (AUC, 0.71 vs. 0.80, p &lt; 0.001). In conclusion, we could accurately predict the development pregnancy‑associated hypertension in early pregnancy through the use of routine clinical variables with the help of graph‑based SSL.</t>
  </si>
  <si>
    <t>DOI: 10.1109/ICSCNA63714.2024.10864251
To effectively forecast the possibility of preeclampsia the model utilizes several clinical factors, such as blood pressure, body mass index (BMI), number of pregnancies, placental location, uterine artery pulsatility index (UTPI), and ultrasound imaging of the placenta</t>
  </si>
  <si>
    <t>Preeclampsia is a significant pregnancy complication marked by elevated blood pressure and the possibility of harm to various organs, posing risks to both the mother and the baby. Preeclampsia is a dangerous pregnancy complication that can harm other organs and raise blood pressure, endangering both the mother and the fetus. To improve outcomes for mothers and newborns, preeclampsia must be identified early and treated appropriately. This study proposes a hyperparameter-tuned K-Nearest Neighbors (KNN) classification model as a potential means of diagnosing preeclampsia. To effectively forecast the possibility of preeclampsia the model utilizes several clinical factors, such as blood pressure, body mass index (BMI), number of pregnancies, placental location, uterine artery pulsatility index (UTPI), and ultrasound imaging of the placenta. There are various important phases to this endeavor. First, a comprehensive dataset comprising patient records is preprocessed, standardizing continuous variables and encoding categorical variables. Next, to enhance the model's performance, adjustments to the KNN classifier are made based on research that methodically examines several hyperparameters like the number of neighbors, distance metrics, and weight functions. To enhance model performance, it's beneficial to utilize weight functions and various distance metrics. Metrics such as accuracy, precision, recall, F1 score, and the receiver operating characteristic (ROC) curve are employed to evaluate the enhanced model. In order to make real-time forecasts and enable healthcare practitioners to input patient data, a user-friendly interface has been built. Thorough testing is used to confirm the system's capacity to handle novel and unseen data, guaranteeing generalizability and reliability. With a reliable method for anticipating and treating this serious illness, this preeclampsia detection model seeks to promote early diagnosis, prompt intervention, and enhanced patient care.</t>
  </si>
  <si>
    <t>Preeclampsia-related but not AI/ML prediction focused
doi: 10.1109/ICEIB61477.2024.10602647</t>
  </si>
  <si>
    <t>https://doi.org/10.1186/s12978-025-02048-4</t>
  </si>
  <si>
    <t xml:space="preserve"> DOI: 10.1109/JBHI.2017.2767063 
AI/ML study not focused on preeclampsia prediction</t>
  </si>
  <si>
    <t>AI/ML study focused on preeclampsia prediction</t>
  </si>
  <si>
    <t xml:space="preserve">doi: 10.1007/s41666-021-00096-6
Insufficient evidence of ML/AI prediction study
</t>
  </si>
  <si>
    <t xml:space="preserve"> DOI: 10.1002/uog.27510 </t>
  </si>
  <si>
    <t xml:space="preserve"> https://doi.org/10.1007/s12170-024-00750-9
Not AI/ML-based preeclampsia prediction study</t>
  </si>
  <si>
    <t>AI/ML study not focused on preeclampsia prediction
DOI: 10.31083/j.ceog5103060</t>
  </si>
  <si>
    <t>DOI: 10.1109/ECTIDAMTNCON51128.2021.9425764</t>
  </si>
  <si>
    <t>This research aimed to develop a predictive model of the risk assessment of pregnancy-induced hypertension using a machine learning approach. Pregnancy-induced hypertension is a complication that has a serious impact on pregnant women and fetuses. It is the world's top three cause of death among pregnant women [1]. Nowadays, the exact cause of pregnancy-induced hypertension is unknown and therefore cannot be prevented. Early detection and received treatment can reduce the severity and danger. A public dataset of Logan (2020) was used in this research [2]. The dataset was collected from a casecontrol study on the determinants of 83 pre-eclampsia and five eclampsia cases among 352 pregnant women delivering in county hospitals in Nairobi, Kenya. According to the dataset, 75 percent of the pregnant women were healthy. Only 25 percent of the pregnant women were pre-eclampsia and eclampsia. Thus, this would result in a problem of an imbalanced classification when one of the two classes had more data than the other class. As such, this problem was resolved with the Synthetic Minority Over-sampling Technique (SMOTE). Risk assessment of pregnancy-induced hypertension was performed on seven machine learning algorithms, which were logistic regression (LR), K-nearest neighbor (KNN), decision tree (DT), random forest (RF), multilayer perceptron neural network(MLP), support vector machines (SVM), and naive Bayes (NB). In the experimental results, RF had the highest accuracy at 89.62 percent compared to other machine learning algorithms.</t>
  </si>
  <si>
    <t xml:space="preserve">https://doi.org/10.7326/M18-1376
</t>
  </si>
  <si>
    <t xml:space="preserve">DOI: 10.1186/s12884-025-07892-7 
</t>
  </si>
  <si>
    <t>AI/ML prediction model for preeclampsia or related obstetric risk
https://www.nature.com/articles/s41467-025-58437-7</t>
  </si>
  <si>
    <t>R1 decision</t>
  </si>
  <si>
    <t>R2 decision</t>
  </si>
  <si>
    <t>Agreement?</t>
  </si>
  <si>
    <t>R1 reason</t>
  </si>
  <si>
    <t>R2 reason</t>
  </si>
  <si>
    <t>Final decision</t>
  </si>
  <si>
    <t>Final exclusion reason</t>
  </si>
  <si>
    <t>Consensus notes</t>
  </si>
  <si>
    <t>Current target(s)</t>
  </si>
  <si>
    <t>Corrected target(s)</t>
  </si>
  <si>
    <t>Current model family(ies)</t>
  </si>
  <si>
    <t>Corrected model family(ies)</t>
  </si>
  <si>
    <t>Current named techniques/comparators</t>
  </si>
  <si>
    <t>Corrected named techniques/comparators</t>
  </si>
  <si>
    <t>Current input modality(ies)</t>
  </si>
  <si>
    <t>Corrected input modality(ies)</t>
  </si>
  <si>
    <t>AUC visible?</t>
  </si>
  <si>
    <t>Numeric AUC</t>
  </si>
  <si>
    <t>AUC CI visible?</t>
  </si>
  <si>
    <t>External validation visible?</t>
  </si>
  <si>
    <t>Explainability visible?</t>
  </si>
  <si>
    <t>Explainability method</t>
  </si>
  <si>
    <t>Repository/data source visible?</t>
  </si>
  <si>
    <t>Repository/data source name</t>
  </si>
  <si>
    <t>Discrepancy type</t>
  </si>
  <si>
    <t>PE</t>
  </si>
  <si>
    <t>Linear/GLM; Naive Bayes</t>
  </si>
  <si>
    <t>Logistic Regression; Naive Bayes</t>
  </si>
  <si>
    <t>demographics; vitals/BP; wearables</t>
  </si>
  <si>
    <t>Imperialist Competitive Algorithm; Sample Progression Discovery (gene clustering); overall average time-series summary; 3-point trimester summary</t>
  </si>
  <si>
    <t>PE; early-onset PE</t>
  </si>
  <si>
    <t>Linear/GLM; Tree-based</t>
  </si>
  <si>
    <t>elastic net; gradient boosting</t>
  </si>
  <si>
    <t>EHR/clinical; demographics; laboratory</t>
  </si>
  <si>
    <t>retrospective</t>
  </si>
  <si>
    <t>Ensemble/Stacking; kNN; SVM; Neural Network; Probabilistic/Bayesian</t>
  </si>
  <si>
    <t>soft voting ensemble; k-Nearest Neighbors; Linear SVM; RBF SVM; Gaussian Process; Multi-Layer Perceptron; AdaBoost</t>
  </si>
  <si>
    <t>HDP</t>
  </si>
  <si>
    <t>prospective</t>
  </si>
  <si>
    <t>Linear/GLM; Tree-based; SVM</t>
  </si>
  <si>
    <t>Logistic regression; Random forest; Support vector machine; XGBoost</t>
  </si>
  <si>
    <t>EHR/clinical; demographics; vitals/BP; laboratory</t>
  </si>
  <si>
    <t>feature importance</t>
  </si>
  <si>
    <t>PE; eclampsia</t>
  </si>
  <si>
    <t>Linear/GLM; Tree-based; SVM; kNN; Naive Bayes; Neural Network; Ensemble/Stacking</t>
  </si>
  <si>
    <t>logistic regression; k-nearest neighbor; decision tree; random forest; multilayer perceptron neural network; support vector machines; naive Bayes</t>
  </si>
  <si>
    <t>Logan (2020)</t>
  </si>
  <si>
    <t>graph-based semi-supervised learning (labeled + unlabeled); semi-supervised learning (labeled only); logistic regression; support vector machine; random forest; clinical guideline risk factors; placental growth factor</t>
  </si>
  <si>
    <t>Linear/GLM; Tree-based; SVM; Neural Network</t>
  </si>
  <si>
    <t>deep neural network; logistic regression; support vector machine; decision tree; random forest</t>
  </si>
  <si>
    <t>EHR/clinical; demographics; laboratory; ultrasound/Doppler</t>
  </si>
  <si>
    <t>gradient-boosted tree; random forest</t>
  </si>
  <si>
    <t>EHR/clinical; laboratory; biomarkers; ultrasound/Doppler</t>
  </si>
  <si>
    <t>Logistic regression; LightGBM; XGBoost; CatBoost; RandomForest; ExtraTrees</t>
  </si>
  <si>
    <t>Tree-based; SVM; Naive Bayes</t>
  </si>
  <si>
    <t>XGBoost; Naive Bayes; SVM; Random Forest; Decision Tree</t>
  </si>
  <si>
    <t>early-onset PE</t>
  </si>
  <si>
    <t>EHR/clinical; laboratory</t>
  </si>
  <si>
    <t>baseline Cox model; full Cox model</t>
  </si>
  <si>
    <t>neural network; FMF competing-risks model</t>
  </si>
  <si>
    <t>EHR/clinical; vitals/BP; biomarkers; ultrasound/Doppler</t>
  </si>
  <si>
    <t>Linear/GLM; Neural Network</t>
  </si>
  <si>
    <t>logistic regression; neural network</t>
  </si>
  <si>
    <t>EHR/clinical; genomics/omics</t>
  </si>
  <si>
    <t>Linear/GLM; Tree-based; Ensemble/Stacking; Probabilistic/Bayesian</t>
  </si>
  <si>
    <t>Logistic Regression; Extra Trees Classifier; Voting Classifier; Gaussian Process Classifier; Stacking Classifier; FMF competing risk model</t>
  </si>
  <si>
    <t>EHR/clinical; demographics; vitals/BP; ultrasound/Doppler; biomarkers</t>
  </si>
  <si>
    <t>EHR/clinical; vitals/BP; ultrasound/Doppler; imaging</t>
  </si>
  <si>
    <t>Tree-based; SVM; Rule-based/EBM</t>
  </si>
  <si>
    <t>XGBoost; SVM; Random Forest; EBM</t>
  </si>
  <si>
    <t>SVM; LR; DT; RF</t>
  </si>
  <si>
    <t>EHR/clinical; demographics; ultrasound/Doppler</t>
  </si>
  <si>
    <t>random forest; logistic regression (fullPIERS)</t>
  </si>
  <si>
    <t>EHR/clinical; demographics</t>
  </si>
  <si>
    <t>SVM; Tree-based; kNN; Naive Bayes; Linear/GLM</t>
  </si>
  <si>
    <t>Support Vector Machine; C5.0; CART; k-Nearest Neighbors; Naive Bayes; Logistic Regression</t>
  </si>
  <si>
    <t>random forest; extreme gradient boosting; logistic regression</t>
  </si>
  <si>
    <t>SHAP</t>
  </si>
  <si>
    <t>EHR/clinical; vitals/BP; ultrasound/Doppler; biomarkers</t>
  </si>
  <si>
    <t>EHR/clinical; demographics; vitals/BP</t>
  </si>
  <si>
    <t>Tree-based; Ensemble/Stacking</t>
  </si>
  <si>
    <t>various resampling techniques; minority-to-majority ratio optimization; ensemble machine learning algorithms; Gradient Boosting Decision Trees</t>
  </si>
  <si>
    <t>Tree-based; Rule-based/EBM</t>
  </si>
  <si>
    <t>other</t>
  </si>
  <si>
    <t>XGBoost; random forest; logistic regression</t>
  </si>
  <si>
    <t>EHR/clinical; laboratory; biomarkers</t>
  </si>
  <si>
    <t>Linear/GLM; Neural Network; Tree-based</t>
  </si>
  <si>
    <t>logistic regression; neural networks; random forest</t>
  </si>
  <si>
    <t>AUC visible agreement</t>
  </si>
  <si>
    <t>External validation agreement</t>
  </si>
  <si>
    <t>Explainability agreement</t>
  </si>
  <si>
    <t>Repository agreement</t>
  </si>
  <si>
    <t>Fields with conflict</t>
  </si>
  <si>
    <t>Final target(s)</t>
  </si>
  <si>
    <t>Final model family(ies)</t>
  </si>
  <si>
    <t>Final input modality(ies)</t>
  </si>
  <si>
    <t>Final AUC visible?</t>
  </si>
  <si>
    <t>Final numeric AUC</t>
  </si>
  <si>
    <t>Final external validation?</t>
  </si>
  <si>
    <t>Final explainability?</t>
  </si>
  <si>
    <t>Final repository?</t>
  </si>
  <si>
    <t>Verification audit summary</t>
  </si>
  <si>
    <t>Eligibility records</t>
  </si>
  <si>
    <t>Expected: 145</t>
  </si>
  <si>
    <t>Interpretation guide</t>
  </si>
  <si>
    <t>R1 eligibility completed</t>
  </si>
  <si>
    <t>Po</t>
  </si>
  <si>
    <t>Observed agreement: proportion of records where reviewers selected the same decision.</t>
  </si>
  <si>
    <t>R2 eligibility completed</t>
  </si>
  <si>
    <t>Pe</t>
  </si>
  <si>
    <t>Expected agreement by chance, using Include/Exclude marginal totals.</t>
  </si>
  <si>
    <t>Eligibility rows with both decisions</t>
  </si>
  <si>
    <t>Kappa</t>
  </si>
  <si>
    <t>Values &lt;0 indicate worse-than-chance agreement; 0.61-0.80 substantial; 0.81-1.00 near-perfect. Use cautiously if many Unclear rows remain.</t>
  </si>
  <si>
    <t>Eligibility agreement rows</t>
  </si>
  <si>
    <t>Extraction conflicts</t>
  </si>
  <si>
    <t>Resolve all conflicts and update final consensus columns before regenerating manuscript tables and figures.</t>
  </si>
  <si>
    <t>Eligibility conflict rows</t>
  </si>
  <si>
    <t>Observed agreement (Po)</t>
  </si>
  <si>
    <t>Format as percentage</t>
  </si>
  <si>
    <t>R1 Include count</t>
  </si>
  <si>
    <t>R1 Exclude count</t>
  </si>
  <si>
    <t>R2 Include count</t>
  </si>
  <si>
    <t>R2 Exclude count</t>
  </si>
  <si>
    <t>Expected agreement (Pe)</t>
  </si>
  <si>
    <t>Binary Include/Exclude only; mark Unclear rows before final kappa</t>
  </si>
  <si>
    <t>Cohen kappa</t>
  </si>
  <si>
    <t>For eligibility Include/Exclude only</t>
  </si>
  <si>
    <t>Extraction studies</t>
  </si>
  <si>
    <t>Expected: 35</t>
  </si>
  <si>
    <t>AUC visibility conflicts</t>
  </si>
  <si>
    <t>External validation conflicts</t>
  </si>
  <si>
    <t>Explainability conflicts</t>
  </si>
  <si>
    <t>Repository conflicts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</si>
</sst>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font>
      <sz val="11"/>
      <name val="Carlito"/>
    </font>
    <font>
      <b/>
      <sz val="14"/>
      <color rgb="FFFFFFFF"/>
      <name val="Carlito"/>
    </font>
    <font>
      <b/>
      <sz val="11"/>
      <color rgb="FF1F4E79"/>
      <name val="Carlito"/>
    </font>
    <font>
      <b/>
      <sz val="11"/>
      <color rgb="FFFFFFFF"/>
      <name val="Carlito"/>
    </font>
    <font>
      <b/>
      <sz val="11"/>
      <name val="Carlito"/>
    </font>
    <font>
      <sz val="11"/>
      <color rgb="FFFF0000"/>
      <name val="Carlito"/>
    </font>
    <font>
      <sz val="11"/>
      <name val="Calibri"/>
      <family val="2"/>
      <charset val="1"/>
    </font>
    <font>
      <u/>
      <sz val="11"/>
      <color theme="10"/>
      <name val="Carlito"/>
    </font>
  </fonts>
  <fills count="5">
    <fill>
      <patternFill patternType="none"/>
    </fill>
    <fill>
      <patternFill patternType="gray125"/>
    </fill>
    <fill>
      <patternFill patternType="solid">
        <fgColor rgb="FF1F4E79"/>
      </patternFill>
    </fill>
    <fill>
      <patternFill patternType="solid">
        <fgColor rgb="FFD9EAF7"/>
      </patternFill>
    </fill>
    <fill>
      <patternFill patternType="solid">
        <fgColor rgb="FFFFFF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2" fillId="3" borderId="0" xfId="0" applyFont="1" applyFill="1" applyAlignment="1">
      <alignment wrapText="1"/>
    </xf>
    <xf numFmtId="0" fontId="0" fillId="0" borderId="0" xfId="0" applyAlignment="1">
      <alignment vertical="top" wrapText="1"/>
    </xf>
    <xf numFmtId="0" fontId="3" fillId="2" borderId="0" xfId="0" applyFont="1" applyFill="1" applyAlignment="1">
      <alignment horizontal="center" vertical="center" wrapText="1"/>
    </xf>
    <xf numFmtId="0" fontId="0" fillId="0" borderId="0" xfId="0" applyAlignment="1">
      <alignment horizontal="center"/>
    </xf>
    <xf numFmtId="0" fontId="4" fillId="0" borderId="0" xfId="0" applyFont="1" applyAlignment="1">
      <alignment wrapText="1"/>
    </xf>
    <xf numFmtId="164" fontId="0" fillId="0" borderId="0" xfId="0" applyNumberFormat="1"/>
    <xf numFmtId="165" fontId="0" fillId="0" borderId="0" xfId="0" applyNumberFormat="1"/>
    <xf numFmtId="0" fontId="5" fillId="0" borderId="0" xfId="0" applyFont="1" applyAlignment="1">
      <alignment vertical="top" wrapText="1"/>
    </xf>
    <xf numFmtId="0" fontId="6" fillId="0" borderId="0" xfId="0" applyFont="1" applyAlignment="1">
      <alignment vertical="top" wrapText="1"/>
    </xf>
    <xf numFmtId="0" fontId="5" fillId="4" borderId="0" xfId="0" applyFont="1" applyFill="1"/>
    <xf numFmtId="0" fontId="7" fillId="0" borderId="0" xfId="1" applyAlignment="1">
      <alignment vertical="top" wrapText="1"/>
    </xf>
    <xf numFmtId="0" fontId="0" fillId="0" borderId="0" xfId="0" applyAlignment="1">
      <alignment wrapText="1"/>
    </xf>
    <xf numFmtId="0" fontId="0" fillId="4" borderId="0" xfId="0" applyFill="1" applyAlignment="1">
      <alignment wrapText="1"/>
    </xf>
    <xf numFmtId="0" fontId="1" fillId="2" borderId="0" xfId="0" applyFont="1" applyFill="1" applyAlignment="1">
      <alignment horizontal="center"/>
    </xf>
    <xf numFmtId="0" fontId="3" fillId="2" borderId="0" xfId="0" applyFont="1" applyFill="1" applyAlignment="1">
      <alignment horizontal="center" vertical="center" wrapText="1"/>
    </xf>
    <xf numFmtId="0" fontId="0" fillId="0" borderId="0" xfId="0"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ISMASDatesTable" displayName="PRISMASDatesTable" ref="A1:E8">
  <tableColumns count="5">
    <tableColumn id="1" xr3:uid="{00000000-0010-0000-0000-000001000000}" name="Source"/>
    <tableColumn id="2" xr3:uid="{00000000-0010-0000-0000-000002000000}" name="Interface / source type"/>
    <tableColumn id="3" xr3:uid="{00000000-0010-0000-0000-000003000000}" name="Search or export execution date"/>
    <tableColumn id="4" xr3:uid="{00000000-0010-0000-0000-000004000000}" name="Records retrieved"/>
    <tableColumn id="5" xr3:uid="{00000000-0010-0000-0000-000005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ligibilityR1Table" displayName="EligibilityR1Table" ref="A1:O146">
  <tableColumns count="15">
    <tableColumn id="1" xr3:uid="{00000000-0010-0000-0100-000001000000}" name="EntryID"/>
    <tableColumn id="2" xr3:uid="{00000000-0010-0000-0100-000002000000}" name="EntryKey"/>
    <tableColumn id="3" xr3:uid="{00000000-0010-0000-0100-000003000000}" name="Year"/>
    <tableColumn id="4" xr3:uid="{00000000-0010-0000-0100-000004000000}" name="SourceDatabase"/>
    <tableColumn id="5" xr3:uid="{00000000-0010-0000-0100-000005000000}" name="DOI"/>
    <tableColumn id="6" xr3:uid="{00000000-0010-0000-0100-000006000000}" name="Title"/>
    <tableColumn id="7" xr3:uid="{00000000-0010-0000-0100-000007000000}" name="Abstract snippet"/>
    <tableColumn id="8" xr3:uid="{00000000-0010-0000-0100-000008000000}" name="Previous audit recommendation"/>
    <tableColumn id="9" xr3:uid="{00000000-0010-0000-0100-000009000000}" name="Reviewer decision"/>
    <tableColumn id="10" xr3:uid="{00000000-0010-0000-0100-00000A000000}" name="Exclusion reason"/>
    <tableColumn id="11" xr3:uid="{00000000-0010-0000-0100-00000B000000}" name="Confidence"/>
    <tableColumn id="12" xr3:uid="{00000000-0010-0000-0100-00000C000000}" name="Full text consulted?"/>
    <tableColumn id="13" xr3:uid="{00000000-0010-0000-0100-00000D000000}" name="DOI/Crossref issue?"/>
    <tableColumn id="14" xr3:uid="{00000000-0010-0000-0100-00000E000000}" name="Reviewer initials"/>
    <tableColumn id="15" xr3:uid="{00000000-0010-0000-0100-00000F000000}" name="Reviewer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ligibilityR2Table" displayName="EligibilityR2Table" ref="A1:P146">
  <tableColumns count="16">
    <tableColumn id="1" xr3:uid="{00000000-0010-0000-0200-000001000000}" name="EntryID"/>
    <tableColumn id="2" xr3:uid="{00000000-0010-0000-0200-000002000000}" name="EntryKey"/>
    <tableColumn id="3" xr3:uid="{00000000-0010-0000-0200-000003000000}" name="Year"/>
    <tableColumn id="4" xr3:uid="{00000000-0010-0000-0200-000004000000}" name="SourceDatabase"/>
    <tableColumn id="5" xr3:uid="{00000000-0010-0000-0200-000005000000}" name="DOI"/>
    <tableColumn id="6" xr3:uid="{00000000-0010-0000-0200-000006000000}" name="Title"/>
    <tableColumn id="7" xr3:uid="{00000000-0010-0000-0200-000007000000}" name="Abstract snippet"/>
    <tableColumn id="8" xr3:uid="{00000000-0010-0000-0200-000008000000}" name="Previous audit recommendation"/>
    <tableColumn id="9" xr3:uid="{00000000-0010-0000-0200-000009000000}" name="Reviewer decision"/>
    <tableColumn id="10" xr3:uid="{00000000-0010-0000-0200-00000A000000}" name="Exclusion reason"/>
    <tableColumn id="11" xr3:uid="{00000000-0010-0000-0200-00000B000000}" name="Confidence"/>
    <tableColumn id="12" xr3:uid="{00000000-0010-0000-0200-00000C000000}" name="Full text consulted?"/>
    <tableColumn id="13" xr3:uid="{00000000-0010-0000-0200-00000D000000}" name="DOI/Crossref issue?"/>
    <tableColumn id="14" xr3:uid="{00000000-0010-0000-0200-00000E000000}" name="Reviewer initials"/>
    <tableColumn id="15" xr3:uid="{00000000-0010-0000-0200-00000F000000}" name="Reviewer notes"/>
    <tableColumn id="16" xr3:uid="{D6D1B235-8FDA-414B-A14F-4164445E74CA}" name="Columna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ligibilityConsensusTable" displayName="EligibilityConsensusTable" ref="A1:M146">
  <tableColumns count="13">
    <tableColumn id="1" xr3:uid="{00000000-0010-0000-0300-000001000000}" name="EntryID"/>
    <tableColumn id="2" xr3:uid="{00000000-0010-0000-0300-000002000000}" name="EntryKey"/>
    <tableColumn id="3" xr3:uid="{00000000-0010-0000-0300-000003000000}" name="Year"/>
    <tableColumn id="4" xr3:uid="{00000000-0010-0000-0300-000004000000}" name="DOI"/>
    <tableColumn id="5" xr3:uid="{00000000-0010-0000-0300-000005000000}" name="Title"/>
    <tableColumn id="6" xr3:uid="{00000000-0010-0000-0300-000006000000}" name="R1 decision"/>
    <tableColumn id="7" xr3:uid="{00000000-0010-0000-0300-000007000000}" name="R2 decision"/>
    <tableColumn id="8" xr3:uid="{00000000-0010-0000-0300-000008000000}" name="Agreement?"/>
    <tableColumn id="9" xr3:uid="{00000000-0010-0000-0300-000009000000}" name="R1 reason"/>
    <tableColumn id="10" xr3:uid="{00000000-0010-0000-0300-00000A000000}" name="R2 reason"/>
    <tableColumn id="11" xr3:uid="{00000000-0010-0000-0300-00000B000000}" name="Final decision"/>
    <tableColumn id="12" xr3:uid="{00000000-0010-0000-0300-00000C000000}" name="Final exclusion reason"/>
    <tableColumn id="13" xr3:uid="{00000000-0010-0000-0300-00000D000000}" name="Consensus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tractionR1Table" displayName="ExtractionR1Table" ref="A1:AA36">
  <tableColumns count="27">
    <tableColumn id="1" xr3:uid="{00000000-0010-0000-0400-000001000000}" name="EntryID"/>
    <tableColumn id="2" xr3:uid="{00000000-0010-0000-0400-000002000000}" name="EntryKey"/>
    <tableColumn id="3" xr3:uid="{00000000-0010-0000-0400-000003000000}" name="Year"/>
    <tableColumn id="4" xr3:uid="{00000000-0010-0000-0400-000004000000}" name="DOI"/>
    <tableColumn id="5" xr3:uid="{00000000-0010-0000-0400-000005000000}" name="Title"/>
    <tableColumn id="6" xr3:uid="{00000000-0010-0000-0400-000006000000}" name="Current target(s)"/>
    <tableColumn id="7" xr3:uid="{00000000-0010-0000-0400-000007000000}" name="Corrected target(s)"/>
    <tableColumn id="8" xr3:uid="{00000000-0010-0000-0400-000008000000}" name="Current model family(ies)"/>
    <tableColumn id="9" xr3:uid="{00000000-0010-0000-0400-000009000000}" name="Corrected model family(ies)"/>
    <tableColumn id="10" xr3:uid="{00000000-0010-0000-0400-00000A000000}" name="Current named techniques/comparators"/>
    <tableColumn id="11" xr3:uid="{00000000-0010-0000-0400-00000B000000}" name="Corrected named techniques/comparators"/>
    <tableColumn id="12" xr3:uid="{00000000-0010-0000-0400-00000C000000}" name="Current input modality(ies)"/>
    <tableColumn id="13" xr3:uid="{00000000-0010-0000-0400-00000D000000}" name="Corrected input modality(ies)"/>
    <tableColumn id="14" xr3:uid="{00000000-0010-0000-0400-00000E000000}" name="AUC visible?"/>
    <tableColumn id="15" xr3:uid="{00000000-0010-0000-0400-00000F000000}" name="Numeric AUC"/>
    <tableColumn id="16" xr3:uid="{00000000-0010-0000-0400-000010000000}" name="AUC CI visible?"/>
    <tableColumn id="17" xr3:uid="{00000000-0010-0000-0400-000011000000}" name="External validation visible?"/>
    <tableColumn id="18" xr3:uid="{00000000-0010-0000-0400-000012000000}" name="Explainability visible?"/>
    <tableColumn id="19" xr3:uid="{00000000-0010-0000-0400-000013000000}" name="Explainability method"/>
    <tableColumn id="20" xr3:uid="{00000000-0010-0000-0400-000014000000}" name="Repository/data source visible?"/>
    <tableColumn id="21" xr3:uid="{00000000-0010-0000-0400-000015000000}" name="Repository/data source name"/>
    <tableColumn id="22" xr3:uid="{00000000-0010-0000-0400-000016000000}" name="Study design"/>
    <tableColumn id="23" xr3:uid="{00000000-0010-0000-0400-000017000000}" name="Country/setting"/>
    <tableColumn id="24" xr3:uid="{00000000-0010-0000-0400-000018000000}" name="Discrepancy type"/>
    <tableColumn id="25" xr3:uid="{00000000-0010-0000-0400-000019000000}" name="Confidence"/>
    <tableColumn id="26" xr3:uid="{00000000-0010-0000-0400-00001A000000}" name="Reviewer initials"/>
    <tableColumn id="27" xr3:uid="{00000000-0010-0000-0400-00001B000000}" name="Reviewer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tractionConsensusTable" displayName="ExtractionConsensusTable" ref="A1:R36">
  <tableColumns count="18">
    <tableColumn id="1" xr3:uid="{00000000-0010-0000-0600-000001000000}" name="EntryID"/>
    <tableColumn id="2" xr3:uid="{00000000-0010-0000-0600-000002000000}" name="EntryKey"/>
    <tableColumn id="3" xr3:uid="{00000000-0010-0000-0600-000003000000}" name="DOI"/>
    <tableColumn id="4" xr3:uid="{00000000-0010-0000-0600-000004000000}" name="Title"/>
    <tableColumn id="5" xr3:uid="{00000000-0010-0000-0600-000005000000}" name="AUC visible agreement"/>
    <tableColumn id="6" xr3:uid="{00000000-0010-0000-0600-000006000000}" name="External validation agreement"/>
    <tableColumn id="7" xr3:uid="{00000000-0010-0000-0600-000007000000}" name="Explainability agreement"/>
    <tableColumn id="8" xr3:uid="{00000000-0010-0000-0600-000008000000}" name="Repository agreement"/>
    <tableColumn id="9" xr3:uid="{00000000-0010-0000-0600-000009000000}" name="Fields with conflict">
      <calculatedColumnFormula>_xlfn.SINGLE(_xlfn.TEXTJOIN("; ", TRUE, IF(E2 = "Conflict", "AUC", ""), IF(F2 = "Conflict", "External validation", ""), IF(G2 = "Conflict", "Explainability", ""), IF(H2 = "Conflict", "Repository", "")))</calculatedColumnFormula>
    </tableColumn>
    <tableColumn id="10" xr3:uid="{00000000-0010-0000-0600-00000A000000}" name="Final target(s)"/>
    <tableColumn id="11" xr3:uid="{00000000-0010-0000-0600-00000B000000}" name="Final model family(ies)"/>
    <tableColumn id="12" xr3:uid="{00000000-0010-0000-0600-00000C000000}" name="Final input modality(ies)"/>
    <tableColumn id="13" xr3:uid="{00000000-0010-0000-0600-00000D000000}" name="Final AUC visible?"/>
    <tableColumn id="14" xr3:uid="{00000000-0010-0000-0600-00000E000000}" name="Final numeric AUC"/>
    <tableColumn id="15" xr3:uid="{00000000-0010-0000-0600-00000F000000}" name="Final external validation?"/>
    <tableColumn id="16" xr3:uid="{00000000-0010-0000-0600-000010000000}" name="Final explainability?"/>
    <tableColumn id="17" xr3:uid="{00000000-0010-0000-0600-000011000000}" name="Final repository?"/>
    <tableColumn id="18" xr3:uid="{00000000-0010-0000-0600-000012000000}" name="Consensus 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tractionR2Table" displayName="ExtractionR2Table" ref="A1:AA36">
  <tableColumns count="27">
    <tableColumn id="1" xr3:uid="{00000000-0010-0000-0500-000001000000}" name="EntryID"/>
    <tableColumn id="2" xr3:uid="{00000000-0010-0000-0500-000002000000}" name="EntryKey"/>
    <tableColumn id="3" xr3:uid="{00000000-0010-0000-0500-000003000000}" name="Year"/>
    <tableColumn id="4" xr3:uid="{00000000-0010-0000-0500-000004000000}" name="DOI"/>
    <tableColumn id="5" xr3:uid="{00000000-0010-0000-0500-000005000000}" name="Title"/>
    <tableColumn id="6" xr3:uid="{00000000-0010-0000-0500-000006000000}" name="Current target(s)"/>
    <tableColumn id="7" xr3:uid="{00000000-0010-0000-0500-000007000000}" name="Corrected target(s)"/>
    <tableColumn id="8" xr3:uid="{00000000-0010-0000-0500-000008000000}" name="Current model family(ies)"/>
    <tableColumn id="9" xr3:uid="{00000000-0010-0000-0500-000009000000}" name="Corrected model family(ies)"/>
    <tableColumn id="10" xr3:uid="{00000000-0010-0000-0500-00000A000000}" name="Current named techniques/comparators"/>
    <tableColumn id="11" xr3:uid="{00000000-0010-0000-0500-00000B000000}" name="Corrected named techniques/comparators"/>
    <tableColumn id="12" xr3:uid="{00000000-0010-0000-0500-00000C000000}" name="Current input modality(ies)"/>
    <tableColumn id="13" xr3:uid="{00000000-0010-0000-0500-00000D000000}" name="Corrected input modality(ies)"/>
    <tableColumn id="14" xr3:uid="{00000000-0010-0000-0500-00000E000000}" name="AUC visible?"/>
    <tableColumn id="15" xr3:uid="{00000000-0010-0000-0500-00000F000000}" name="Numeric AUC"/>
    <tableColumn id="16" xr3:uid="{00000000-0010-0000-0500-000010000000}" name="AUC CI visible?"/>
    <tableColumn id="17" xr3:uid="{00000000-0010-0000-0500-000011000000}" name="External validation visible?"/>
    <tableColumn id="18" xr3:uid="{00000000-0010-0000-0500-000012000000}" name="Explainability visible?"/>
    <tableColumn id="19" xr3:uid="{00000000-0010-0000-0500-000013000000}" name="Explainability method"/>
    <tableColumn id="20" xr3:uid="{00000000-0010-0000-0500-000014000000}" name="Repository/data source visible?"/>
    <tableColumn id="21" xr3:uid="{00000000-0010-0000-0500-000015000000}" name="Repository/data source name"/>
    <tableColumn id="22" xr3:uid="{00000000-0010-0000-0500-000016000000}" name="Study design"/>
    <tableColumn id="23" xr3:uid="{00000000-0010-0000-0500-000017000000}" name="Country/setting"/>
    <tableColumn id="24" xr3:uid="{00000000-0010-0000-0500-000018000000}" name="Discrepancy type"/>
    <tableColumn id="25" xr3:uid="{00000000-0010-0000-0500-000019000000}" name="Confidence"/>
    <tableColumn id="26" xr3:uid="{00000000-0010-0000-0500-00001A000000}" name="Reviewer initials"/>
    <tableColumn id="27" xr3:uid="{00000000-0010-0000-0500-00001B000000}" name="Reviewer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038/s41598-022-15391-4" TargetMode="External"/><Relationship Id="rId2" Type="http://schemas.openxmlformats.org/officeDocument/2006/relationships/hyperlink" Target="https://doi.org/10.1186/s12978-025-02048-4" TargetMode="External"/><Relationship Id="rId1" Type="http://schemas.openxmlformats.org/officeDocument/2006/relationships/hyperlink" Target="https://doi.org/10.7326/M18-1376"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zoomScale="130" zoomScaleNormal="130" workbookViewId="0">
      <selection activeCell="B8" sqref="B8"/>
    </sheetView>
  </sheetViews>
  <sheetFormatPr defaultRowHeight="14.1"/>
  <cols>
    <col min="1" max="1" width="22" customWidth="1"/>
    <col min="2" max="2" width="95" customWidth="1"/>
  </cols>
  <sheetData>
    <row r="1" spans="1:8" ht="17.649999999999999">
      <c r="A1" s="14" t="s">
        <v>0</v>
      </c>
      <c r="B1" s="16"/>
      <c r="C1" s="16"/>
      <c r="D1" s="16"/>
      <c r="E1" s="16"/>
      <c r="F1" s="16"/>
      <c r="G1" s="16"/>
      <c r="H1" s="16"/>
    </row>
    <row r="3" spans="1:8">
      <c r="A3" s="1" t="s">
        <v>1</v>
      </c>
      <c r="B3" s="2" t="s">
        <v>2</v>
      </c>
    </row>
    <row r="4" spans="1:8" ht="28.35">
      <c r="A4" s="1" t="s">
        <v>3</v>
      </c>
      <c r="B4" s="2" t="s">
        <v>4</v>
      </c>
    </row>
    <row r="5" spans="1:8" ht="28.35">
      <c r="A5" s="1" t="s">
        <v>5</v>
      </c>
      <c r="B5" s="2" t="s">
        <v>6</v>
      </c>
    </row>
    <row r="6" spans="1:8" ht="28.35">
      <c r="A6" s="1" t="s">
        <v>7</v>
      </c>
      <c r="B6" s="2" t="s">
        <v>8</v>
      </c>
    </row>
    <row r="7" spans="1:8" ht="28.35">
      <c r="A7" s="1" t="s">
        <v>9</v>
      </c>
      <c r="B7" s="2" t="s">
        <v>10</v>
      </c>
    </row>
    <row r="8" spans="1:8" ht="28.35">
      <c r="A8" s="1" t="s">
        <v>11</v>
      </c>
      <c r="B8" s="2" t="s">
        <v>12</v>
      </c>
    </row>
    <row r="9" spans="1:8" ht="28.35">
      <c r="A9" s="1" t="s">
        <v>13</v>
      </c>
      <c r="B9" s="2" t="s">
        <v>14</v>
      </c>
    </row>
    <row r="10" spans="1:8" ht="28.35">
      <c r="A10" s="1" t="s">
        <v>15</v>
      </c>
      <c r="B10" s="2" t="s">
        <v>16</v>
      </c>
    </row>
    <row r="12" spans="1:8">
      <c r="A12" s="15" t="s">
        <v>17</v>
      </c>
      <c r="B12" s="16"/>
      <c r="C12" s="16"/>
      <c r="D12" s="16"/>
      <c r="E12" s="16"/>
      <c r="F12" s="16"/>
      <c r="G12" s="16"/>
      <c r="H12" s="16"/>
    </row>
    <row r="13" spans="1:8">
      <c r="A13" s="4">
        <v>1</v>
      </c>
      <c r="B13" s="2" t="s">
        <v>18</v>
      </c>
    </row>
    <row r="14" spans="1:8">
      <c r="A14" s="4">
        <v>2</v>
      </c>
      <c r="B14" s="2" t="s">
        <v>19</v>
      </c>
    </row>
    <row r="15" spans="1:8">
      <c r="A15" s="4">
        <v>3</v>
      </c>
      <c r="B15" s="2" t="s">
        <v>20</v>
      </c>
    </row>
    <row r="16" spans="1:8">
      <c r="A16" s="4">
        <v>4</v>
      </c>
      <c r="B16" s="2" t="s">
        <v>21</v>
      </c>
    </row>
    <row r="17" spans="1:2">
      <c r="A17" s="4">
        <v>5</v>
      </c>
      <c r="B17" s="2" t="s">
        <v>22</v>
      </c>
    </row>
    <row r="18" spans="1:2">
      <c r="A18" s="4">
        <v>6</v>
      </c>
      <c r="B18" s="2" t="s">
        <v>23</v>
      </c>
    </row>
    <row r="19" spans="1:2">
      <c r="A19" s="4">
        <v>7</v>
      </c>
      <c r="B19" s="2" t="s">
        <v>24</v>
      </c>
    </row>
    <row r="20" spans="1:2">
      <c r="A20" s="4">
        <v>8</v>
      </c>
      <c r="B20" s="2" t="s">
        <v>25</v>
      </c>
    </row>
  </sheetData>
  <mergeCells count="2">
    <mergeCell ref="A1:H1"/>
    <mergeCell ref="A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heetViews>
  <sheetFormatPr defaultRowHeight="14.1"/>
  <cols>
    <col min="1" max="8" width="28" customWidth="1"/>
  </cols>
  <sheetData>
    <row r="1" spans="1:8">
      <c r="A1" s="3" t="s">
        <v>26</v>
      </c>
      <c r="B1" s="3" t="s">
        <v>27</v>
      </c>
      <c r="C1" s="3" t="s">
        <v>28</v>
      </c>
      <c r="D1" s="3" t="s">
        <v>29</v>
      </c>
      <c r="E1" s="3" t="s">
        <v>30</v>
      </c>
      <c r="F1" s="3" t="s">
        <v>31</v>
      </c>
      <c r="G1" s="3" t="s">
        <v>32</v>
      </c>
      <c r="H1" s="3" t="s">
        <v>33</v>
      </c>
    </row>
    <row r="2" spans="1:8">
      <c r="A2" s="2" t="s">
        <v>34</v>
      </c>
      <c r="B2" s="2" t="s">
        <v>35</v>
      </c>
      <c r="C2" s="2" t="s">
        <v>36</v>
      </c>
      <c r="D2" s="2" t="s">
        <v>37</v>
      </c>
      <c r="E2" s="2" t="s">
        <v>38</v>
      </c>
      <c r="F2" s="2" t="s">
        <v>39</v>
      </c>
      <c r="G2" s="2" t="s">
        <v>40</v>
      </c>
      <c r="H2" s="2" t="s">
        <v>41</v>
      </c>
    </row>
    <row r="3" spans="1:8">
      <c r="A3" s="2" t="s">
        <v>42</v>
      </c>
      <c r="B3" s="2" t="s">
        <v>43</v>
      </c>
      <c r="C3" s="2" t="s">
        <v>44</v>
      </c>
      <c r="D3" s="2" t="s">
        <v>45</v>
      </c>
      <c r="E3" s="2" t="s">
        <v>46</v>
      </c>
      <c r="F3" s="2" t="s">
        <v>47</v>
      </c>
      <c r="G3" s="2" t="s">
        <v>48</v>
      </c>
      <c r="H3" s="2" t="s">
        <v>49</v>
      </c>
    </row>
    <row r="4" spans="1:8">
      <c r="A4" s="2" t="s">
        <v>50</v>
      </c>
      <c r="B4" s="2" t="s">
        <v>51</v>
      </c>
      <c r="C4" s="2" t="s">
        <v>52</v>
      </c>
      <c r="D4" s="2" t="s">
        <v>53</v>
      </c>
      <c r="E4" s="2" t="s">
        <v>54</v>
      </c>
      <c r="F4" s="2" t="s">
        <v>55</v>
      </c>
      <c r="G4" s="2" t="s">
        <v>56</v>
      </c>
      <c r="H4" s="2" t="s">
        <v>57</v>
      </c>
    </row>
    <row r="5" spans="1:8">
      <c r="B5" s="2" t="s">
        <v>58</v>
      </c>
      <c r="D5" s="2" t="s">
        <v>50</v>
      </c>
      <c r="E5" s="2" t="s">
        <v>59</v>
      </c>
      <c r="F5" s="2" t="s">
        <v>60</v>
      </c>
      <c r="G5" s="2" t="s">
        <v>61</v>
      </c>
      <c r="H5" s="2" t="s">
        <v>62</v>
      </c>
    </row>
    <row r="6" spans="1:8" ht="28.35">
      <c r="B6" s="2" t="s">
        <v>63</v>
      </c>
      <c r="E6" s="2" t="s">
        <v>64</v>
      </c>
      <c r="F6" s="2" t="s">
        <v>65</v>
      </c>
      <c r="G6" s="2" t="s">
        <v>66</v>
      </c>
      <c r="H6" s="2" t="s">
        <v>67</v>
      </c>
    </row>
    <row r="7" spans="1:8" ht="42.4">
      <c r="B7" s="2" t="s">
        <v>68</v>
      </c>
      <c r="E7" s="2" t="s">
        <v>69</v>
      </c>
      <c r="F7" s="2" t="s">
        <v>70</v>
      </c>
      <c r="G7" s="2" t="s">
        <v>71</v>
      </c>
      <c r="H7" s="2" t="s">
        <v>72</v>
      </c>
    </row>
    <row r="8" spans="1:8">
      <c r="B8" s="2" t="s">
        <v>73</v>
      </c>
      <c r="E8" s="2" t="s">
        <v>74</v>
      </c>
      <c r="F8" s="2" t="s">
        <v>75</v>
      </c>
      <c r="G8" s="2" t="s">
        <v>76</v>
      </c>
      <c r="H8" s="2" t="s">
        <v>53</v>
      </c>
    </row>
    <row r="9" spans="1:8" ht="28.35">
      <c r="B9" s="2" t="s">
        <v>77</v>
      </c>
      <c r="E9" s="2" t="s">
        <v>78</v>
      </c>
      <c r="F9" s="2" t="s">
        <v>79</v>
      </c>
      <c r="G9" s="2" t="s">
        <v>80</v>
      </c>
      <c r="H9" s="2" t="s">
        <v>81</v>
      </c>
    </row>
    <row r="10" spans="1:8">
      <c r="B10" s="2" t="s">
        <v>82</v>
      </c>
      <c r="E10" s="2" t="s">
        <v>83</v>
      </c>
      <c r="F10" s="2" t="s">
        <v>84</v>
      </c>
      <c r="G10" s="2" t="s">
        <v>85</v>
      </c>
    </row>
    <row r="11" spans="1:8">
      <c r="B11" s="2" t="s">
        <v>81</v>
      </c>
      <c r="E11" s="2" t="s">
        <v>86</v>
      </c>
      <c r="F11" s="2" t="s">
        <v>53</v>
      </c>
      <c r="G11" s="2" t="s">
        <v>53</v>
      </c>
    </row>
    <row r="12" spans="1:8">
      <c r="E12" s="2" t="s">
        <v>87</v>
      </c>
      <c r="F12" s="2" t="s">
        <v>81</v>
      </c>
      <c r="G12" s="2" t="s">
        <v>81</v>
      </c>
    </row>
    <row r="13" spans="1:8">
      <c r="E13" s="2" t="s">
        <v>88</v>
      </c>
    </row>
    <row r="14" spans="1:8">
      <c r="E14" s="2" t="s">
        <v>89</v>
      </c>
    </row>
    <row r="15" spans="1:8">
      <c r="E15" s="2"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4.1"/>
  <cols>
    <col min="1" max="1" width="26" customWidth="1"/>
    <col min="2" max="2" width="28" customWidth="1"/>
    <col min="3" max="3" width="26" customWidth="1"/>
    <col min="4" max="4" width="16" customWidth="1"/>
    <col min="5" max="5" width="55" customWidth="1"/>
  </cols>
  <sheetData>
    <row r="1" spans="1:5" ht="28.35">
      <c r="A1" s="3" t="s">
        <v>90</v>
      </c>
      <c r="B1" s="3" t="s">
        <v>91</v>
      </c>
      <c r="C1" s="3" t="s">
        <v>92</v>
      </c>
      <c r="D1" s="3" t="s">
        <v>93</v>
      </c>
      <c r="E1" s="3" t="s">
        <v>94</v>
      </c>
    </row>
    <row r="2" spans="1:5">
      <c r="A2" t="s">
        <v>95</v>
      </c>
      <c r="B2" t="s">
        <v>96</v>
      </c>
      <c r="C2" t="s">
        <v>97</v>
      </c>
      <c r="D2">
        <v>24</v>
      </c>
      <c r="E2" t="s">
        <v>98</v>
      </c>
    </row>
    <row r="3" spans="1:5">
      <c r="A3" t="s">
        <v>99</v>
      </c>
      <c r="B3" t="s">
        <v>100</v>
      </c>
      <c r="C3" t="s">
        <v>101</v>
      </c>
      <c r="D3">
        <v>1</v>
      </c>
      <c r="E3" t="s">
        <v>98</v>
      </c>
    </row>
    <row r="4" spans="1:5">
      <c r="A4" t="s">
        <v>102</v>
      </c>
      <c r="B4" t="s">
        <v>102</v>
      </c>
      <c r="C4" t="s">
        <v>103</v>
      </c>
      <c r="D4">
        <v>15</v>
      </c>
      <c r="E4" t="s">
        <v>98</v>
      </c>
    </row>
    <row r="5" spans="1:5">
      <c r="A5" t="s">
        <v>104</v>
      </c>
      <c r="B5" t="s">
        <v>104</v>
      </c>
      <c r="C5" t="s">
        <v>105</v>
      </c>
      <c r="D5">
        <v>46</v>
      </c>
      <c r="E5" t="s">
        <v>98</v>
      </c>
    </row>
    <row r="6" spans="1:5">
      <c r="A6" t="s">
        <v>106</v>
      </c>
      <c r="B6" t="s">
        <v>106</v>
      </c>
      <c r="C6" t="s">
        <v>107</v>
      </c>
      <c r="D6">
        <v>45</v>
      </c>
      <c r="E6" t="s">
        <v>98</v>
      </c>
    </row>
    <row r="7" spans="1:5">
      <c r="A7" t="s">
        <v>108</v>
      </c>
      <c r="B7" t="s">
        <v>108</v>
      </c>
      <c r="C7" t="s">
        <v>109</v>
      </c>
      <c r="D7">
        <v>43</v>
      </c>
      <c r="E7" t="s">
        <v>98</v>
      </c>
    </row>
    <row r="8" spans="1:5">
      <c r="A8" t="s">
        <v>110</v>
      </c>
      <c r="B8" t="s">
        <v>110</v>
      </c>
      <c r="C8" t="s">
        <v>111</v>
      </c>
      <c r="D8">
        <v>27</v>
      </c>
      <c r="E8" t="s">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48"/>
  <sheetViews>
    <sheetView topLeftCell="H144" workbookViewId="0">
      <selection activeCell="P148" sqref="P148"/>
    </sheetView>
  </sheetViews>
  <sheetFormatPr defaultRowHeight="14.1"/>
  <cols>
    <col min="1" max="1" width="10" customWidth="1"/>
    <col min="2" max="2" width="18" customWidth="1"/>
    <col min="3" max="3" width="8" customWidth="1"/>
    <col min="4" max="4" width="16" customWidth="1"/>
    <col min="5" max="5" width="25" customWidth="1"/>
    <col min="6" max="6" width="42" customWidth="1"/>
    <col min="7" max="7" width="60" customWidth="1"/>
    <col min="8" max="8" width="44" customWidth="1"/>
    <col min="9" max="9" width="18" customWidth="1"/>
    <col min="10" max="10" width="36" customWidth="1"/>
    <col min="11" max="11" width="14" customWidth="1"/>
    <col min="12" max="13" width="18" customWidth="1"/>
    <col min="14" max="14" width="16" customWidth="1"/>
    <col min="15" max="15" width="45" customWidth="1"/>
  </cols>
  <sheetData>
    <row r="1" spans="1:15" ht="20.65" customHeight="1">
      <c r="A1" s="3" t="s">
        <v>112</v>
      </c>
      <c r="B1" s="3" t="s">
        <v>113</v>
      </c>
      <c r="C1" s="3" t="s">
        <v>114</v>
      </c>
      <c r="D1" s="3" t="s">
        <v>115</v>
      </c>
      <c r="E1" s="3" t="s">
        <v>116</v>
      </c>
      <c r="F1" s="3" t="s">
        <v>117</v>
      </c>
      <c r="G1" s="3" t="s">
        <v>118</v>
      </c>
      <c r="H1" s="3" t="s">
        <v>119</v>
      </c>
      <c r="I1" s="3" t="s">
        <v>120</v>
      </c>
      <c r="J1" s="3" t="s">
        <v>121</v>
      </c>
      <c r="K1" s="3" t="s">
        <v>28</v>
      </c>
      <c r="L1" s="3" t="s">
        <v>122</v>
      </c>
      <c r="M1" s="3" t="s">
        <v>123</v>
      </c>
      <c r="N1" s="3" t="s">
        <v>124</v>
      </c>
      <c r="O1" s="3" t="s">
        <v>125</v>
      </c>
    </row>
    <row r="2" spans="1:15" ht="84">
      <c r="A2" s="2" t="s">
        <v>126</v>
      </c>
      <c r="B2" s="2" t="s">
        <v>127</v>
      </c>
      <c r="C2" s="2" t="s">
        <v>128</v>
      </c>
      <c r="D2" s="2" t="s">
        <v>104</v>
      </c>
      <c r="E2" s="2" t="s">
        <v>129</v>
      </c>
      <c r="F2" s="2" t="s">
        <v>130</v>
      </c>
      <c r="G2" s="2" t="s">
        <v>130</v>
      </c>
      <c r="H2" s="2" t="s">
        <v>131</v>
      </c>
      <c r="I2" s="2" t="s">
        <v>42</v>
      </c>
      <c r="J2" s="2" t="s">
        <v>73</v>
      </c>
      <c r="K2" s="2" t="s">
        <v>36</v>
      </c>
      <c r="L2" s="2" t="s">
        <v>45</v>
      </c>
      <c r="M2" s="2" t="s">
        <v>45</v>
      </c>
      <c r="N2" s="2" t="s">
        <v>132</v>
      </c>
      <c r="O2" s="2"/>
    </row>
    <row r="3" spans="1:15" ht="200.25">
      <c r="A3" s="2" t="s">
        <v>133</v>
      </c>
      <c r="B3" s="2" t="s">
        <v>134</v>
      </c>
      <c r="C3" s="2" t="s">
        <v>135</v>
      </c>
      <c r="D3" s="2" t="s">
        <v>104</v>
      </c>
      <c r="E3" s="2" t="s">
        <v>136</v>
      </c>
      <c r="F3" s="2" t="s">
        <v>137</v>
      </c>
      <c r="G3" s="2" t="s">
        <v>138</v>
      </c>
      <c r="H3" s="2" t="s">
        <v>131</v>
      </c>
      <c r="I3" s="2" t="s">
        <v>42</v>
      </c>
      <c r="J3" s="2" t="s">
        <v>43</v>
      </c>
      <c r="K3" s="2" t="s">
        <v>36</v>
      </c>
      <c r="L3" s="2" t="s">
        <v>45</v>
      </c>
      <c r="M3" s="2" t="s">
        <v>45</v>
      </c>
      <c r="N3" s="2" t="s">
        <v>132</v>
      </c>
      <c r="O3" s="2"/>
    </row>
    <row r="4" spans="1:15" ht="200.25">
      <c r="A4" s="2" t="s">
        <v>139</v>
      </c>
      <c r="B4" s="2" t="s">
        <v>140</v>
      </c>
      <c r="C4" s="2" t="s">
        <v>141</v>
      </c>
      <c r="D4" s="2" t="s">
        <v>104</v>
      </c>
      <c r="E4" s="2" t="s">
        <v>142</v>
      </c>
      <c r="F4" s="2" t="s">
        <v>143</v>
      </c>
      <c r="G4" s="2" t="s">
        <v>144</v>
      </c>
      <c r="H4" s="2" t="s">
        <v>131</v>
      </c>
      <c r="I4" s="2" t="s">
        <v>42</v>
      </c>
      <c r="J4" s="2" t="s">
        <v>73</v>
      </c>
      <c r="K4" s="2" t="s">
        <v>36</v>
      </c>
      <c r="L4" s="2" t="s">
        <v>45</v>
      </c>
      <c r="M4" s="2" t="s">
        <v>45</v>
      </c>
      <c r="N4" s="2" t="s">
        <v>132</v>
      </c>
      <c r="O4" s="2"/>
    </row>
    <row r="5" spans="1:15" ht="200.25">
      <c r="A5" s="2" t="s">
        <v>145</v>
      </c>
      <c r="B5" s="2" t="s">
        <v>146</v>
      </c>
      <c r="C5" s="2" t="s">
        <v>141</v>
      </c>
      <c r="D5" s="2" t="s">
        <v>104</v>
      </c>
      <c r="E5" s="2" t="s">
        <v>147</v>
      </c>
      <c r="F5" s="2" t="s">
        <v>148</v>
      </c>
      <c r="G5" s="2" t="s">
        <v>149</v>
      </c>
      <c r="H5" s="2" t="s">
        <v>131</v>
      </c>
      <c r="I5" s="2" t="s">
        <v>42</v>
      </c>
      <c r="J5" s="2" t="s">
        <v>73</v>
      </c>
      <c r="K5" s="2" t="s">
        <v>36</v>
      </c>
      <c r="L5" s="2" t="s">
        <v>45</v>
      </c>
      <c r="M5" s="2" t="s">
        <v>45</v>
      </c>
      <c r="N5" s="2" t="s">
        <v>132</v>
      </c>
      <c r="O5" s="2"/>
    </row>
    <row r="6" spans="1:15" ht="84">
      <c r="A6" s="2" t="s">
        <v>150</v>
      </c>
      <c r="B6" s="2" t="s">
        <v>151</v>
      </c>
      <c r="C6" s="2" t="s">
        <v>152</v>
      </c>
      <c r="D6" s="2" t="s">
        <v>104</v>
      </c>
      <c r="E6" s="2" t="s">
        <v>153</v>
      </c>
      <c r="F6" s="2" t="s">
        <v>154</v>
      </c>
      <c r="G6" s="2" t="s">
        <v>154</v>
      </c>
      <c r="H6" s="2" t="s">
        <v>131</v>
      </c>
      <c r="I6" s="2" t="s">
        <v>42</v>
      </c>
      <c r="J6" s="2" t="s">
        <v>73</v>
      </c>
      <c r="K6" s="2" t="s">
        <v>36</v>
      </c>
      <c r="L6" s="2" t="s">
        <v>45</v>
      </c>
      <c r="M6" s="2" t="s">
        <v>45</v>
      </c>
      <c r="N6" s="2" t="s">
        <v>132</v>
      </c>
      <c r="O6" s="2"/>
    </row>
    <row r="7" spans="1:15" ht="200.25">
      <c r="A7" s="2" t="s">
        <v>155</v>
      </c>
      <c r="B7" s="2" t="s">
        <v>156</v>
      </c>
      <c r="C7" s="2" t="s">
        <v>157</v>
      </c>
      <c r="D7" s="2" t="s">
        <v>104</v>
      </c>
      <c r="E7" s="2" t="s">
        <v>158</v>
      </c>
      <c r="F7" s="2" t="s">
        <v>159</v>
      </c>
      <c r="G7" s="2" t="s">
        <v>160</v>
      </c>
      <c r="H7" s="2" t="s">
        <v>131</v>
      </c>
      <c r="I7" s="2" t="s">
        <v>42</v>
      </c>
      <c r="J7" s="2" t="s">
        <v>73</v>
      </c>
      <c r="K7" s="2" t="s">
        <v>36</v>
      </c>
      <c r="L7" s="2" t="s">
        <v>45</v>
      </c>
      <c r="M7" s="2" t="s">
        <v>45</v>
      </c>
      <c r="N7" s="2" t="s">
        <v>132</v>
      </c>
      <c r="O7" s="2"/>
    </row>
    <row r="8" spans="1:15" ht="216.75">
      <c r="A8" s="2" t="s">
        <v>161</v>
      </c>
      <c r="B8" s="2" t="s">
        <v>162</v>
      </c>
      <c r="C8" s="2" t="s">
        <v>157</v>
      </c>
      <c r="D8" s="2" t="s">
        <v>104</v>
      </c>
      <c r="E8" s="2" t="s">
        <v>163</v>
      </c>
      <c r="F8" s="2" t="s">
        <v>164</v>
      </c>
      <c r="G8" s="2" t="s">
        <v>165</v>
      </c>
      <c r="H8" s="2" t="s">
        <v>131</v>
      </c>
      <c r="I8" s="2" t="s">
        <v>42</v>
      </c>
      <c r="J8" s="2" t="s">
        <v>73</v>
      </c>
      <c r="K8" s="2" t="s">
        <v>36</v>
      </c>
      <c r="L8" s="2" t="s">
        <v>45</v>
      </c>
      <c r="M8" s="2" t="s">
        <v>45</v>
      </c>
      <c r="N8" s="2" t="s">
        <v>132</v>
      </c>
      <c r="O8" s="2"/>
    </row>
    <row r="9" spans="1:15" ht="84">
      <c r="A9" s="2" t="s">
        <v>166</v>
      </c>
      <c r="B9" s="2" t="s">
        <v>167</v>
      </c>
      <c r="C9" s="2" t="s">
        <v>167</v>
      </c>
      <c r="D9" s="2" t="s">
        <v>168</v>
      </c>
      <c r="E9" s="2" t="s">
        <v>169</v>
      </c>
      <c r="F9" s="2" t="s">
        <v>170</v>
      </c>
      <c r="G9" s="2" t="s">
        <v>170</v>
      </c>
      <c r="H9" s="2" t="s">
        <v>131</v>
      </c>
      <c r="I9" s="2" t="s">
        <v>42</v>
      </c>
      <c r="J9" s="2" t="s">
        <v>73</v>
      </c>
      <c r="K9" s="2" t="s">
        <v>36</v>
      </c>
      <c r="L9" s="2" t="s">
        <v>45</v>
      </c>
      <c r="M9" s="2" t="s">
        <v>45</v>
      </c>
      <c r="N9" s="2" t="s">
        <v>132</v>
      </c>
      <c r="O9" s="2"/>
    </row>
    <row r="10" spans="1:15" ht="200.25">
      <c r="A10" s="2" t="s">
        <v>171</v>
      </c>
      <c r="B10" s="2" t="s">
        <v>172</v>
      </c>
      <c r="C10" s="2" t="s">
        <v>167</v>
      </c>
      <c r="D10" s="2" t="s">
        <v>104</v>
      </c>
      <c r="E10" s="2" t="s">
        <v>173</v>
      </c>
      <c r="F10" s="2" t="s">
        <v>174</v>
      </c>
      <c r="G10" s="2" t="s">
        <v>175</v>
      </c>
      <c r="H10" s="2" t="s">
        <v>131</v>
      </c>
      <c r="I10" s="2" t="s">
        <v>42</v>
      </c>
      <c r="J10" s="2" t="s">
        <v>73</v>
      </c>
      <c r="K10" s="2" t="s">
        <v>36</v>
      </c>
      <c r="L10" s="2" t="s">
        <v>45</v>
      </c>
      <c r="M10" s="2" t="s">
        <v>45</v>
      </c>
      <c r="N10" s="2" t="s">
        <v>132</v>
      </c>
      <c r="O10" s="2"/>
    </row>
    <row r="11" spans="1:15" ht="200.25">
      <c r="A11" s="2" t="s">
        <v>176</v>
      </c>
      <c r="B11" s="2" t="s">
        <v>177</v>
      </c>
      <c r="C11" s="2" t="s">
        <v>167</v>
      </c>
      <c r="D11" s="2" t="s">
        <v>104</v>
      </c>
      <c r="E11" s="2" t="s">
        <v>178</v>
      </c>
      <c r="F11" s="2" t="s">
        <v>137</v>
      </c>
      <c r="G11" s="2" t="s">
        <v>179</v>
      </c>
      <c r="H11" s="2" t="s">
        <v>131</v>
      </c>
      <c r="I11" s="2" t="s">
        <v>42</v>
      </c>
      <c r="J11" s="2" t="s">
        <v>73</v>
      </c>
      <c r="K11" s="2" t="s">
        <v>36</v>
      </c>
      <c r="L11" s="2" t="s">
        <v>45</v>
      </c>
      <c r="M11" s="2" t="s">
        <v>45</v>
      </c>
      <c r="N11" s="2" t="s">
        <v>132</v>
      </c>
      <c r="O11" s="2"/>
    </row>
    <row r="12" spans="1:15" ht="216.75">
      <c r="A12" s="2" t="s">
        <v>180</v>
      </c>
      <c r="B12" s="2" t="s">
        <v>177</v>
      </c>
      <c r="C12" s="2" t="s">
        <v>167</v>
      </c>
      <c r="D12" s="2" t="s">
        <v>104</v>
      </c>
      <c r="E12" s="2" t="s">
        <v>181</v>
      </c>
      <c r="F12" s="2" t="s">
        <v>182</v>
      </c>
      <c r="G12" s="2" t="s">
        <v>183</v>
      </c>
      <c r="H12" s="2" t="s">
        <v>131</v>
      </c>
      <c r="I12" s="2" t="s">
        <v>42</v>
      </c>
      <c r="J12" s="2" t="s">
        <v>73</v>
      </c>
      <c r="K12" s="2" t="s">
        <v>36</v>
      </c>
      <c r="L12" s="2" t="s">
        <v>45</v>
      </c>
      <c r="M12" s="2" t="s">
        <v>45</v>
      </c>
      <c r="N12" s="2" t="s">
        <v>132</v>
      </c>
      <c r="O12" s="2"/>
    </row>
    <row r="13" spans="1:15" ht="200.25">
      <c r="A13" s="2" t="s">
        <v>184</v>
      </c>
      <c r="B13" s="2" t="s">
        <v>185</v>
      </c>
      <c r="C13" s="2" t="s">
        <v>167</v>
      </c>
      <c r="D13" s="2" t="s">
        <v>104</v>
      </c>
      <c r="E13" s="2" t="s">
        <v>186</v>
      </c>
      <c r="F13" s="2" t="s">
        <v>187</v>
      </c>
      <c r="G13" s="2" t="s">
        <v>188</v>
      </c>
      <c r="H13" s="2" t="s">
        <v>131</v>
      </c>
      <c r="I13" s="2" t="s">
        <v>42</v>
      </c>
      <c r="J13" s="2" t="s">
        <v>73</v>
      </c>
      <c r="K13" s="2" t="s">
        <v>36</v>
      </c>
      <c r="L13" s="2" t="s">
        <v>45</v>
      </c>
      <c r="M13" s="2" t="s">
        <v>45</v>
      </c>
      <c r="N13" s="2" t="s">
        <v>132</v>
      </c>
      <c r="O13" s="2"/>
    </row>
    <row r="14" spans="1:15" ht="216.75">
      <c r="A14" s="2" t="s">
        <v>189</v>
      </c>
      <c r="B14" s="2" t="s">
        <v>190</v>
      </c>
      <c r="C14" s="2" t="s">
        <v>190</v>
      </c>
      <c r="D14" s="2" t="s">
        <v>191</v>
      </c>
      <c r="E14" s="2" t="s">
        <v>192</v>
      </c>
      <c r="F14" s="2" t="s">
        <v>193</v>
      </c>
      <c r="G14" s="2" t="s">
        <v>194</v>
      </c>
      <c r="H14" s="2" t="s">
        <v>131</v>
      </c>
      <c r="I14" s="2" t="s">
        <v>42</v>
      </c>
      <c r="J14" s="2" t="s">
        <v>43</v>
      </c>
      <c r="K14" s="2" t="s">
        <v>36</v>
      </c>
      <c r="L14" s="2" t="s">
        <v>45</v>
      </c>
      <c r="M14" s="2" t="s">
        <v>45</v>
      </c>
      <c r="N14" s="2" t="s">
        <v>132</v>
      </c>
      <c r="O14" s="2"/>
    </row>
    <row r="15" spans="1:15" ht="200.25">
      <c r="A15" s="2" t="s">
        <v>195</v>
      </c>
      <c r="B15" s="2" t="s">
        <v>196</v>
      </c>
      <c r="C15" s="2" t="s">
        <v>190</v>
      </c>
      <c r="D15" s="2" t="s">
        <v>104</v>
      </c>
      <c r="E15" s="2" t="s">
        <v>197</v>
      </c>
      <c r="F15" s="2" t="s">
        <v>198</v>
      </c>
      <c r="G15" s="2" t="s">
        <v>199</v>
      </c>
      <c r="H15" s="2" t="s">
        <v>131</v>
      </c>
      <c r="I15" s="2" t="s">
        <v>42</v>
      </c>
      <c r="J15" s="2" t="s">
        <v>73</v>
      </c>
      <c r="K15" s="2" t="s">
        <v>36</v>
      </c>
      <c r="L15" s="2" t="s">
        <v>45</v>
      </c>
      <c r="M15" s="2" t="s">
        <v>45</v>
      </c>
      <c r="N15" s="2" t="s">
        <v>132</v>
      </c>
      <c r="O15" s="2"/>
    </row>
    <row r="16" spans="1:15" ht="200.25">
      <c r="A16" s="2" t="s">
        <v>200</v>
      </c>
      <c r="B16" s="2" t="s">
        <v>201</v>
      </c>
      <c r="C16" s="2" t="s">
        <v>202</v>
      </c>
      <c r="D16" s="2" t="s">
        <v>104</v>
      </c>
      <c r="E16" s="2" t="s">
        <v>203</v>
      </c>
      <c r="F16" s="2" t="s">
        <v>204</v>
      </c>
      <c r="G16" s="2" t="s">
        <v>205</v>
      </c>
      <c r="H16" s="2" t="s">
        <v>131</v>
      </c>
      <c r="I16" s="2" t="s">
        <v>42</v>
      </c>
      <c r="J16" s="2" t="s">
        <v>73</v>
      </c>
      <c r="K16" s="2" t="s">
        <v>36</v>
      </c>
      <c r="L16" s="2" t="s">
        <v>45</v>
      </c>
      <c r="M16" s="2" t="s">
        <v>45</v>
      </c>
      <c r="N16" s="2" t="s">
        <v>132</v>
      </c>
      <c r="O16" s="2"/>
    </row>
    <row r="17" spans="1:15" ht="200.25">
      <c r="A17" s="2" t="s">
        <v>206</v>
      </c>
      <c r="B17" s="2" t="s">
        <v>207</v>
      </c>
      <c r="C17" s="2" t="s">
        <v>202</v>
      </c>
      <c r="D17" s="2" t="s">
        <v>104</v>
      </c>
      <c r="E17" s="2" t="s">
        <v>208</v>
      </c>
      <c r="F17" s="2" t="s">
        <v>209</v>
      </c>
      <c r="G17" s="2" t="s">
        <v>210</v>
      </c>
      <c r="H17" s="2" t="s">
        <v>211</v>
      </c>
      <c r="I17" s="2" t="s">
        <v>212</v>
      </c>
      <c r="J17" s="2" t="s">
        <v>73</v>
      </c>
      <c r="K17" s="2" t="s">
        <v>36</v>
      </c>
      <c r="L17" s="2" t="s">
        <v>45</v>
      </c>
      <c r="M17" s="2" t="s">
        <v>45</v>
      </c>
      <c r="N17" s="2" t="s">
        <v>132</v>
      </c>
      <c r="O17" s="2"/>
    </row>
    <row r="18" spans="1:15" ht="84">
      <c r="A18" s="2" t="s">
        <v>213</v>
      </c>
      <c r="B18" s="2" t="s">
        <v>207</v>
      </c>
      <c r="C18" s="2" t="s">
        <v>202</v>
      </c>
      <c r="D18" s="2" t="s">
        <v>104</v>
      </c>
      <c r="E18" s="2" t="s">
        <v>214</v>
      </c>
      <c r="F18" s="2" t="s">
        <v>215</v>
      </c>
      <c r="G18" s="2" t="s">
        <v>215</v>
      </c>
      <c r="H18" s="2" t="s">
        <v>131</v>
      </c>
      <c r="I18" s="2" t="s">
        <v>42</v>
      </c>
      <c r="J18" s="2" t="s">
        <v>73</v>
      </c>
      <c r="K18" s="2" t="s">
        <v>36</v>
      </c>
      <c r="L18" s="2" t="s">
        <v>45</v>
      </c>
      <c r="M18" s="2" t="s">
        <v>45</v>
      </c>
      <c r="N18" s="2" t="s">
        <v>132</v>
      </c>
      <c r="O18" s="2"/>
    </row>
    <row r="19" spans="1:15" ht="200.25">
      <c r="A19" s="2" t="s">
        <v>216</v>
      </c>
      <c r="B19" s="2" t="s">
        <v>217</v>
      </c>
      <c r="C19" s="2" t="s">
        <v>202</v>
      </c>
      <c r="D19" s="2" t="s">
        <v>104</v>
      </c>
      <c r="E19" s="2" t="s">
        <v>218</v>
      </c>
      <c r="F19" s="2" t="s">
        <v>219</v>
      </c>
      <c r="G19" s="2" t="s">
        <v>220</v>
      </c>
      <c r="H19" s="2" t="s">
        <v>131</v>
      </c>
      <c r="I19" s="2" t="s">
        <v>42</v>
      </c>
      <c r="J19" s="2" t="s">
        <v>73</v>
      </c>
      <c r="K19" s="2" t="s">
        <v>36</v>
      </c>
      <c r="L19" s="2" t="s">
        <v>45</v>
      </c>
      <c r="M19" s="2" t="s">
        <v>45</v>
      </c>
      <c r="N19" s="2" t="s">
        <v>132</v>
      </c>
      <c r="O19" s="2"/>
    </row>
    <row r="20" spans="1:15" ht="200.25">
      <c r="A20" s="2" t="s">
        <v>221</v>
      </c>
      <c r="B20" s="2" t="s">
        <v>222</v>
      </c>
      <c r="C20" s="2" t="s">
        <v>202</v>
      </c>
      <c r="D20" s="2" t="s">
        <v>191</v>
      </c>
      <c r="E20" s="2" t="s">
        <v>223</v>
      </c>
      <c r="F20" s="2" t="s">
        <v>224</v>
      </c>
      <c r="G20" s="2" t="s">
        <v>225</v>
      </c>
      <c r="H20" s="2" t="s">
        <v>131</v>
      </c>
      <c r="I20" s="2" t="s">
        <v>42</v>
      </c>
      <c r="J20" s="2" t="s">
        <v>73</v>
      </c>
      <c r="K20" s="2" t="s">
        <v>36</v>
      </c>
      <c r="L20" s="2" t="s">
        <v>45</v>
      </c>
      <c r="M20" s="2" t="s">
        <v>45</v>
      </c>
      <c r="N20" s="2" t="s">
        <v>132</v>
      </c>
      <c r="O20" s="2"/>
    </row>
    <row r="21" spans="1:15" ht="200.25">
      <c r="A21" s="2" t="s">
        <v>226</v>
      </c>
      <c r="B21" s="2" t="s">
        <v>227</v>
      </c>
      <c r="C21" s="2" t="s">
        <v>202</v>
      </c>
      <c r="D21" s="2" t="s">
        <v>191</v>
      </c>
      <c r="E21" s="2" t="s">
        <v>228</v>
      </c>
      <c r="F21" s="2" t="s">
        <v>229</v>
      </c>
      <c r="G21" s="2" t="s">
        <v>230</v>
      </c>
      <c r="H21" s="2" t="s">
        <v>131</v>
      </c>
      <c r="I21" s="2" t="s">
        <v>42</v>
      </c>
      <c r="J21" s="2" t="s">
        <v>43</v>
      </c>
      <c r="K21" s="2" t="s">
        <v>36</v>
      </c>
      <c r="L21" s="2" t="s">
        <v>45</v>
      </c>
      <c r="M21" s="2" t="s">
        <v>45</v>
      </c>
      <c r="N21" s="2" t="s">
        <v>132</v>
      </c>
      <c r="O21" s="2"/>
    </row>
    <row r="22" spans="1:15" ht="200.25">
      <c r="A22" s="2" t="s">
        <v>231</v>
      </c>
      <c r="B22" s="2" t="s">
        <v>232</v>
      </c>
      <c r="C22" s="2" t="s">
        <v>233</v>
      </c>
      <c r="D22" s="2" t="s">
        <v>104</v>
      </c>
      <c r="E22" s="2" t="s">
        <v>234</v>
      </c>
      <c r="F22" s="2" t="s">
        <v>235</v>
      </c>
      <c r="G22" s="2" t="s">
        <v>236</v>
      </c>
      <c r="H22" s="2" t="s">
        <v>131</v>
      </c>
      <c r="I22" s="2" t="s">
        <v>42</v>
      </c>
      <c r="J22" s="2" t="s">
        <v>73</v>
      </c>
      <c r="K22" s="2" t="s">
        <v>36</v>
      </c>
      <c r="L22" s="2" t="s">
        <v>45</v>
      </c>
      <c r="M22" s="2" t="s">
        <v>45</v>
      </c>
      <c r="N22" s="2" t="s">
        <v>132</v>
      </c>
      <c r="O22" s="2"/>
    </row>
    <row r="23" spans="1:15" ht="216.75">
      <c r="A23" s="2" t="s">
        <v>237</v>
      </c>
      <c r="B23" s="2" t="s">
        <v>238</v>
      </c>
      <c r="C23" s="2" t="s">
        <v>190</v>
      </c>
      <c r="D23" s="2" t="s">
        <v>168</v>
      </c>
      <c r="E23" s="2" t="s">
        <v>239</v>
      </c>
      <c r="F23" s="2" t="s">
        <v>240</v>
      </c>
      <c r="G23" s="2" t="s">
        <v>241</v>
      </c>
      <c r="H23" s="2" t="s">
        <v>242</v>
      </c>
      <c r="I23" s="2" t="s">
        <v>42</v>
      </c>
      <c r="J23" s="2" t="s">
        <v>43</v>
      </c>
      <c r="K23" s="2" t="s">
        <v>36</v>
      </c>
      <c r="L23" s="2" t="s">
        <v>45</v>
      </c>
      <c r="M23" s="2" t="s">
        <v>45</v>
      </c>
      <c r="N23" s="2" t="s">
        <v>132</v>
      </c>
      <c r="O23" s="2"/>
    </row>
    <row r="24" spans="1:15" ht="200.25">
      <c r="A24" s="2" t="s">
        <v>243</v>
      </c>
      <c r="B24" s="2" t="s">
        <v>244</v>
      </c>
      <c r="C24" s="2" t="s">
        <v>202</v>
      </c>
      <c r="D24" s="2" t="s">
        <v>104</v>
      </c>
      <c r="E24" s="2" t="s">
        <v>245</v>
      </c>
      <c r="F24" s="2" t="s">
        <v>246</v>
      </c>
      <c r="G24" s="2" t="s">
        <v>247</v>
      </c>
      <c r="H24" s="2" t="s">
        <v>248</v>
      </c>
      <c r="I24" s="2" t="s">
        <v>42</v>
      </c>
      <c r="J24" s="2" t="s">
        <v>68</v>
      </c>
      <c r="K24" s="2" t="s">
        <v>36</v>
      </c>
      <c r="L24" s="2" t="s">
        <v>45</v>
      </c>
      <c r="M24" s="2" t="s">
        <v>45</v>
      </c>
      <c r="N24" s="2" t="s">
        <v>132</v>
      </c>
      <c r="O24" s="2"/>
    </row>
    <row r="25" spans="1:15" ht="200.25">
      <c r="A25" s="2" t="s">
        <v>249</v>
      </c>
      <c r="B25" s="2" t="s">
        <v>250</v>
      </c>
      <c r="C25" s="2" t="s">
        <v>233</v>
      </c>
      <c r="D25" s="2" t="s">
        <v>168</v>
      </c>
      <c r="E25" s="2" t="s">
        <v>251</v>
      </c>
      <c r="F25" s="2" t="s">
        <v>252</v>
      </c>
      <c r="G25" s="2" t="s">
        <v>253</v>
      </c>
      <c r="H25" s="2" t="s">
        <v>242</v>
      </c>
      <c r="I25" s="2" t="s">
        <v>42</v>
      </c>
      <c r="J25" s="2" t="s">
        <v>35</v>
      </c>
      <c r="K25" s="2" t="s">
        <v>36</v>
      </c>
      <c r="L25" s="2" t="s">
        <v>45</v>
      </c>
      <c r="M25" s="2" t="s">
        <v>45</v>
      </c>
      <c r="N25" s="2" t="s">
        <v>132</v>
      </c>
      <c r="O25" s="2"/>
    </row>
    <row r="26" spans="1:15" ht="200.25">
      <c r="A26" s="2" t="s">
        <v>254</v>
      </c>
      <c r="B26" s="2" t="s">
        <v>255</v>
      </c>
      <c r="C26" s="2" t="s">
        <v>152</v>
      </c>
      <c r="D26" s="2" t="s">
        <v>168</v>
      </c>
      <c r="E26" s="2" t="s">
        <v>256</v>
      </c>
      <c r="F26" s="2" t="s">
        <v>257</v>
      </c>
      <c r="G26" s="2" t="s">
        <v>258</v>
      </c>
      <c r="H26" s="2" t="s">
        <v>248</v>
      </c>
      <c r="I26" s="2" t="s">
        <v>42</v>
      </c>
      <c r="J26" s="2" t="s">
        <v>35</v>
      </c>
      <c r="K26" s="2" t="s">
        <v>36</v>
      </c>
      <c r="L26" s="2" t="s">
        <v>45</v>
      </c>
      <c r="M26" s="2" t="s">
        <v>45</v>
      </c>
      <c r="N26" s="2" t="s">
        <v>132</v>
      </c>
      <c r="O26" s="2"/>
    </row>
    <row r="27" spans="1:15" ht="200.25">
      <c r="A27" s="2" t="s">
        <v>259</v>
      </c>
      <c r="B27" s="2" t="s">
        <v>260</v>
      </c>
      <c r="C27" s="2" t="s">
        <v>190</v>
      </c>
      <c r="D27" s="2" t="s">
        <v>110</v>
      </c>
      <c r="E27" s="2" t="s">
        <v>261</v>
      </c>
      <c r="F27" s="2" t="s">
        <v>262</v>
      </c>
      <c r="G27" s="2" t="s">
        <v>263</v>
      </c>
      <c r="H27" s="2" t="s">
        <v>264</v>
      </c>
      <c r="I27" s="2" t="s">
        <v>34</v>
      </c>
      <c r="J27" s="2"/>
      <c r="K27" s="2" t="s">
        <v>36</v>
      </c>
      <c r="L27" s="2" t="s">
        <v>45</v>
      </c>
      <c r="M27" s="2" t="s">
        <v>45</v>
      </c>
      <c r="N27" s="2" t="s">
        <v>132</v>
      </c>
      <c r="O27" s="2"/>
    </row>
    <row r="28" spans="1:15" ht="200.25">
      <c r="A28" s="2" t="s">
        <v>265</v>
      </c>
      <c r="B28" s="2" t="s">
        <v>266</v>
      </c>
      <c r="C28" s="2" t="s">
        <v>202</v>
      </c>
      <c r="D28" s="2" t="s">
        <v>267</v>
      </c>
      <c r="E28" s="2" t="s">
        <v>268</v>
      </c>
      <c r="F28" s="2" t="s">
        <v>269</v>
      </c>
      <c r="G28" s="2" t="s">
        <v>270</v>
      </c>
      <c r="H28" s="2" t="s">
        <v>248</v>
      </c>
      <c r="I28" s="2" t="s">
        <v>42</v>
      </c>
      <c r="J28" s="2" t="s">
        <v>68</v>
      </c>
      <c r="K28" s="2" t="s">
        <v>44</v>
      </c>
      <c r="L28" s="2" t="s">
        <v>45</v>
      </c>
      <c r="M28" s="2" t="s">
        <v>45</v>
      </c>
      <c r="N28" s="2" t="s">
        <v>132</v>
      </c>
      <c r="O28" s="2"/>
    </row>
    <row r="29" spans="1:15" ht="200.25">
      <c r="A29" s="2" t="s">
        <v>271</v>
      </c>
      <c r="B29" s="2" t="s">
        <v>272</v>
      </c>
      <c r="C29" s="2" t="s">
        <v>190</v>
      </c>
      <c r="D29" s="2" t="s">
        <v>267</v>
      </c>
      <c r="E29" s="2" t="s">
        <v>273</v>
      </c>
      <c r="F29" s="2" t="s">
        <v>274</v>
      </c>
      <c r="G29" s="2" t="s">
        <v>275</v>
      </c>
      <c r="H29" s="2" t="s">
        <v>276</v>
      </c>
      <c r="I29" s="2" t="s">
        <v>42</v>
      </c>
      <c r="J29" s="2" t="s">
        <v>43</v>
      </c>
      <c r="K29" s="2" t="s">
        <v>36</v>
      </c>
      <c r="L29" s="2" t="s">
        <v>45</v>
      </c>
      <c r="M29" s="2" t="s">
        <v>45</v>
      </c>
      <c r="N29" s="2" t="s">
        <v>132</v>
      </c>
      <c r="O29" s="2"/>
    </row>
    <row r="30" spans="1:15" ht="216.75">
      <c r="A30" s="2" t="s">
        <v>277</v>
      </c>
      <c r="B30" s="2" t="s">
        <v>278</v>
      </c>
      <c r="C30" s="2" t="s">
        <v>190</v>
      </c>
      <c r="D30" s="2" t="s">
        <v>168</v>
      </c>
      <c r="E30" s="2" t="s">
        <v>279</v>
      </c>
      <c r="F30" s="2" t="s">
        <v>280</v>
      </c>
      <c r="G30" s="2" t="s">
        <v>281</v>
      </c>
      <c r="H30" s="2" t="s">
        <v>248</v>
      </c>
      <c r="I30" s="2" t="s">
        <v>42</v>
      </c>
      <c r="J30" s="2" t="s">
        <v>35</v>
      </c>
      <c r="K30" s="2" t="s">
        <v>36</v>
      </c>
      <c r="L30" s="2" t="s">
        <v>45</v>
      </c>
      <c r="M30" s="2" t="s">
        <v>45</v>
      </c>
      <c r="N30" s="2" t="s">
        <v>132</v>
      </c>
      <c r="O30" s="2"/>
    </row>
    <row r="31" spans="1:15" ht="216.75">
      <c r="A31" s="2" t="s">
        <v>282</v>
      </c>
      <c r="B31" s="2" t="s">
        <v>283</v>
      </c>
      <c r="C31" s="2" t="s">
        <v>135</v>
      </c>
      <c r="D31" s="2" t="s">
        <v>267</v>
      </c>
      <c r="E31" s="2" t="s">
        <v>284</v>
      </c>
      <c r="F31" s="2" t="s">
        <v>285</v>
      </c>
      <c r="G31" s="2" t="s">
        <v>286</v>
      </c>
      <c r="H31" s="2" t="s">
        <v>264</v>
      </c>
      <c r="I31" s="2" t="s">
        <v>34</v>
      </c>
      <c r="J31" s="2"/>
      <c r="K31" s="2" t="s">
        <v>36</v>
      </c>
      <c r="L31" s="2" t="s">
        <v>45</v>
      </c>
      <c r="M31" s="2" t="s">
        <v>45</v>
      </c>
      <c r="N31" s="2" t="s">
        <v>132</v>
      </c>
      <c r="O31" s="2"/>
    </row>
    <row r="32" spans="1:15" ht="200.25">
      <c r="A32" s="2" t="s">
        <v>287</v>
      </c>
      <c r="B32" s="2" t="s">
        <v>288</v>
      </c>
      <c r="C32" s="2" t="s">
        <v>202</v>
      </c>
      <c r="D32" s="2" t="s">
        <v>110</v>
      </c>
      <c r="E32" s="2" t="s">
        <v>289</v>
      </c>
      <c r="F32" s="2" t="s">
        <v>290</v>
      </c>
      <c r="G32" s="2" t="s">
        <v>291</v>
      </c>
      <c r="H32" s="2" t="s">
        <v>264</v>
      </c>
      <c r="I32" s="2" t="s">
        <v>34</v>
      </c>
      <c r="J32" s="2"/>
      <c r="K32" s="2" t="s">
        <v>36</v>
      </c>
      <c r="L32" s="2" t="s">
        <v>45</v>
      </c>
      <c r="M32" s="2" t="s">
        <v>45</v>
      </c>
      <c r="N32" s="2" t="s">
        <v>132</v>
      </c>
      <c r="O32" s="2"/>
    </row>
    <row r="33" spans="1:15" ht="200.25">
      <c r="A33" s="2" t="s">
        <v>292</v>
      </c>
      <c r="B33" s="2" t="s">
        <v>293</v>
      </c>
      <c r="C33" s="2" t="s">
        <v>233</v>
      </c>
      <c r="D33" s="2" t="s">
        <v>110</v>
      </c>
      <c r="E33" s="2" t="s">
        <v>294</v>
      </c>
      <c r="F33" s="2" t="s">
        <v>295</v>
      </c>
      <c r="G33" s="2" t="s">
        <v>296</v>
      </c>
      <c r="H33" s="2" t="s">
        <v>242</v>
      </c>
      <c r="I33" s="2" t="s">
        <v>42</v>
      </c>
      <c r="J33" s="2" t="s">
        <v>35</v>
      </c>
      <c r="K33" s="2" t="s">
        <v>36</v>
      </c>
      <c r="L33" s="2" t="s">
        <v>45</v>
      </c>
      <c r="M33" s="2" t="s">
        <v>45</v>
      </c>
      <c r="N33" s="2" t="s">
        <v>132</v>
      </c>
      <c r="O33" s="2"/>
    </row>
    <row r="34" spans="1:15" ht="200.25">
      <c r="A34" s="2" t="s">
        <v>297</v>
      </c>
      <c r="B34" s="2" t="s">
        <v>298</v>
      </c>
      <c r="C34" s="2" t="s">
        <v>299</v>
      </c>
      <c r="D34" s="2" t="s">
        <v>300</v>
      </c>
      <c r="E34" s="2" t="s">
        <v>301</v>
      </c>
      <c r="F34" s="2" t="s">
        <v>302</v>
      </c>
      <c r="G34" s="2" t="s">
        <v>303</v>
      </c>
      <c r="H34" s="2" t="s">
        <v>248</v>
      </c>
      <c r="I34" s="2" t="s">
        <v>42</v>
      </c>
      <c r="J34" s="2" t="s">
        <v>68</v>
      </c>
      <c r="K34" s="2" t="s">
        <v>36</v>
      </c>
      <c r="L34" s="2" t="s">
        <v>45</v>
      </c>
      <c r="M34" s="2" t="s">
        <v>45</v>
      </c>
      <c r="N34" s="2" t="s">
        <v>132</v>
      </c>
      <c r="O34" s="2"/>
    </row>
    <row r="35" spans="1:15" ht="216.75">
      <c r="A35" s="2" t="s">
        <v>304</v>
      </c>
      <c r="B35" s="2" t="s">
        <v>305</v>
      </c>
      <c r="C35" s="2" t="s">
        <v>167</v>
      </c>
      <c r="D35" s="2" t="s">
        <v>104</v>
      </c>
      <c r="E35" s="2" t="s">
        <v>306</v>
      </c>
      <c r="F35" s="2" t="s">
        <v>307</v>
      </c>
      <c r="G35" s="2" t="s">
        <v>308</v>
      </c>
      <c r="H35" s="2" t="s">
        <v>248</v>
      </c>
      <c r="I35" s="2" t="s">
        <v>42</v>
      </c>
      <c r="J35" s="2" t="s">
        <v>68</v>
      </c>
      <c r="K35" s="2" t="s">
        <v>36</v>
      </c>
      <c r="L35" s="2" t="s">
        <v>45</v>
      </c>
      <c r="M35" s="2" t="s">
        <v>45</v>
      </c>
      <c r="N35" s="2" t="s">
        <v>132</v>
      </c>
      <c r="O35" s="2"/>
    </row>
    <row r="36" spans="1:15" ht="200.25">
      <c r="A36" s="2" t="s">
        <v>309</v>
      </c>
      <c r="B36" s="2" t="s">
        <v>310</v>
      </c>
      <c r="C36" s="2" t="s">
        <v>135</v>
      </c>
      <c r="D36" s="2" t="s">
        <v>300</v>
      </c>
      <c r="E36" s="2" t="s">
        <v>311</v>
      </c>
      <c r="F36" s="2" t="s">
        <v>312</v>
      </c>
      <c r="G36" s="2" t="s">
        <v>313</v>
      </c>
      <c r="H36" s="2" t="s">
        <v>248</v>
      </c>
      <c r="I36" s="2" t="s">
        <v>42</v>
      </c>
      <c r="J36" s="2" t="s">
        <v>68</v>
      </c>
      <c r="K36" s="2" t="s">
        <v>36</v>
      </c>
      <c r="L36" s="2" t="s">
        <v>45</v>
      </c>
      <c r="M36" s="2" t="s">
        <v>45</v>
      </c>
      <c r="N36" s="2" t="s">
        <v>132</v>
      </c>
      <c r="O36" s="2"/>
    </row>
    <row r="37" spans="1:15" ht="200.25">
      <c r="A37" s="2" t="s">
        <v>314</v>
      </c>
      <c r="B37" s="2" t="s">
        <v>315</v>
      </c>
      <c r="C37" s="2" t="s">
        <v>202</v>
      </c>
      <c r="D37" s="2" t="s">
        <v>191</v>
      </c>
      <c r="E37" s="2" t="s">
        <v>316</v>
      </c>
      <c r="F37" s="2" t="s">
        <v>317</v>
      </c>
      <c r="G37" s="2" t="s">
        <v>318</v>
      </c>
      <c r="H37" s="2" t="s">
        <v>248</v>
      </c>
      <c r="I37" s="2" t="s">
        <v>42</v>
      </c>
      <c r="J37" s="2" t="s">
        <v>68</v>
      </c>
      <c r="K37" s="2" t="s">
        <v>36</v>
      </c>
      <c r="L37" s="2" t="s">
        <v>45</v>
      </c>
      <c r="M37" s="2" t="s">
        <v>45</v>
      </c>
      <c r="N37" s="2" t="s">
        <v>132</v>
      </c>
      <c r="O37" s="2"/>
    </row>
    <row r="38" spans="1:15" ht="200.25">
      <c r="A38" s="2" t="s">
        <v>319</v>
      </c>
      <c r="B38" s="2" t="s">
        <v>320</v>
      </c>
      <c r="C38" s="2" t="s">
        <v>157</v>
      </c>
      <c r="D38" s="2" t="s">
        <v>191</v>
      </c>
      <c r="E38" s="2" t="s">
        <v>321</v>
      </c>
      <c r="F38" s="2" t="s">
        <v>322</v>
      </c>
      <c r="G38" s="2" t="s">
        <v>323</v>
      </c>
      <c r="H38" s="2" t="s">
        <v>248</v>
      </c>
      <c r="I38" s="2" t="s">
        <v>42</v>
      </c>
      <c r="J38" s="2" t="s">
        <v>68</v>
      </c>
      <c r="K38" s="2" t="s">
        <v>36</v>
      </c>
      <c r="L38" s="2" t="s">
        <v>45</v>
      </c>
      <c r="M38" s="2" t="s">
        <v>45</v>
      </c>
      <c r="N38" s="2" t="s">
        <v>132</v>
      </c>
      <c r="O38" s="2"/>
    </row>
    <row r="39" spans="1:15" ht="200.25">
      <c r="A39" s="2" t="s">
        <v>324</v>
      </c>
      <c r="B39" s="2" t="s">
        <v>325</v>
      </c>
      <c r="C39" s="2" t="s">
        <v>202</v>
      </c>
      <c r="D39" s="2" t="s">
        <v>110</v>
      </c>
      <c r="E39" s="2" t="s">
        <v>326</v>
      </c>
      <c r="F39" s="2" t="s">
        <v>327</v>
      </c>
      <c r="G39" s="2" t="s">
        <v>328</v>
      </c>
      <c r="H39" s="2" t="s">
        <v>264</v>
      </c>
      <c r="I39" s="2" t="s">
        <v>34</v>
      </c>
      <c r="J39" s="2"/>
      <c r="K39" s="2" t="s">
        <v>44</v>
      </c>
      <c r="L39" s="2" t="s">
        <v>45</v>
      </c>
      <c r="M39" s="2" t="s">
        <v>45</v>
      </c>
      <c r="N39" s="2" t="s">
        <v>132</v>
      </c>
      <c r="O39" s="2" t="s">
        <v>329</v>
      </c>
    </row>
    <row r="40" spans="1:15" ht="216.75">
      <c r="A40" s="2" t="s">
        <v>330</v>
      </c>
      <c r="B40" s="2" t="s">
        <v>331</v>
      </c>
      <c r="C40" s="2" t="s">
        <v>152</v>
      </c>
      <c r="D40" s="2" t="s">
        <v>267</v>
      </c>
      <c r="E40" s="2" t="s">
        <v>332</v>
      </c>
      <c r="F40" s="2" t="s">
        <v>333</v>
      </c>
      <c r="G40" s="2" t="s">
        <v>334</v>
      </c>
      <c r="H40" s="2" t="s">
        <v>264</v>
      </c>
      <c r="I40" s="2" t="s">
        <v>34</v>
      </c>
      <c r="J40" s="2"/>
      <c r="K40" s="2" t="s">
        <v>36</v>
      </c>
      <c r="L40" s="2" t="s">
        <v>45</v>
      </c>
      <c r="M40" s="2" t="s">
        <v>45</v>
      </c>
      <c r="N40" s="2" t="s">
        <v>132</v>
      </c>
      <c r="O40" s="2" t="s">
        <v>329</v>
      </c>
    </row>
    <row r="41" spans="1:15" ht="200.25">
      <c r="A41" s="2" t="s">
        <v>335</v>
      </c>
      <c r="B41" s="2" t="s">
        <v>336</v>
      </c>
      <c r="C41" s="2" t="s">
        <v>233</v>
      </c>
      <c r="D41" s="2" t="s">
        <v>168</v>
      </c>
      <c r="E41" s="2" t="s">
        <v>337</v>
      </c>
      <c r="F41" s="2" t="s">
        <v>338</v>
      </c>
      <c r="G41" s="2" t="s">
        <v>339</v>
      </c>
      <c r="H41" s="2" t="s">
        <v>242</v>
      </c>
      <c r="I41" s="2" t="s">
        <v>42</v>
      </c>
      <c r="J41" s="2" t="s">
        <v>35</v>
      </c>
      <c r="K41" s="2" t="s">
        <v>36</v>
      </c>
      <c r="L41" s="2" t="s">
        <v>45</v>
      </c>
      <c r="M41" s="2" t="s">
        <v>45</v>
      </c>
      <c r="N41" s="2" t="s">
        <v>132</v>
      </c>
      <c r="O41" s="2"/>
    </row>
    <row r="42" spans="1:15" ht="200.25">
      <c r="A42" s="2" t="s">
        <v>340</v>
      </c>
      <c r="B42" s="2" t="s">
        <v>341</v>
      </c>
      <c r="C42" s="2" t="s">
        <v>202</v>
      </c>
      <c r="D42" s="2" t="s">
        <v>168</v>
      </c>
      <c r="E42" s="2" t="s">
        <v>342</v>
      </c>
      <c r="F42" s="2" t="s">
        <v>343</v>
      </c>
      <c r="G42" s="2" t="s">
        <v>344</v>
      </c>
      <c r="H42" s="2" t="s">
        <v>242</v>
      </c>
      <c r="I42" s="2" t="s">
        <v>42</v>
      </c>
      <c r="J42" s="2" t="s">
        <v>35</v>
      </c>
      <c r="K42" s="2" t="s">
        <v>36</v>
      </c>
      <c r="L42" s="2" t="s">
        <v>45</v>
      </c>
      <c r="M42" s="2" t="s">
        <v>45</v>
      </c>
      <c r="N42" s="2" t="s">
        <v>132</v>
      </c>
      <c r="O42" s="2"/>
    </row>
    <row r="43" spans="1:15" ht="216.75">
      <c r="A43" s="2" t="s">
        <v>345</v>
      </c>
      <c r="B43" s="2" t="s">
        <v>346</v>
      </c>
      <c r="C43" s="2" t="s">
        <v>157</v>
      </c>
      <c r="D43" s="2" t="s">
        <v>267</v>
      </c>
      <c r="E43" s="2" t="s">
        <v>347</v>
      </c>
      <c r="F43" s="2" t="s">
        <v>348</v>
      </c>
      <c r="G43" s="2" t="s">
        <v>349</v>
      </c>
      <c r="H43" s="2" t="s">
        <v>350</v>
      </c>
      <c r="I43" s="2" t="s">
        <v>42</v>
      </c>
      <c r="J43" s="2" t="s">
        <v>43</v>
      </c>
      <c r="K43" s="2" t="s">
        <v>36</v>
      </c>
      <c r="L43" s="2" t="s">
        <v>45</v>
      </c>
      <c r="M43" s="2" t="s">
        <v>45</v>
      </c>
      <c r="N43" s="2" t="s">
        <v>132</v>
      </c>
      <c r="O43" s="2"/>
    </row>
    <row r="44" spans="1:15" ht="216.75">
      <c r="A44" s="2" t="s">
        <v>351</v>
      </c>
      <c r="B44" s="2" t="s">
        <v>352</v>
      </c>
      <c r="C44" s="2" t="s">
        <v>233</v>
      </c>
      <c r="D44" s="2" t="s">
        <v>168</v>
      </c>
      <c r="E44" s="2" t="s">
        <v>353</v>
      </c>
      <c r="F44" s="2" t="s">
        <v>354</v>
      </c>
      <c r="G44" s="2" t="s">
        <v>355</v>
      </c>
      <c r="H44" s="2" t="s">
        <v>356</v>
      </c>
      <c r="I44" s="2" t="s">
        <v>42</v>
      </c>
      <c r="J44" s="2" t="s">
        <v>43</v>
      </c>
      <c r="K44" s="2" t="s">
        <v>36</v>
      </c>
      <c r="L44" s="2" t="s">
        <v>45</v>
      </c>
      <c r="M44" s="2" t="s">
        <v>45</v>
      </c>
      <c r="N44" s="2" t="s">
        <v>132</v>
      </c>
      <c r="O44" s="2"/>
    </row>
    <row r="45" spans="1:15" ht="200.25">
      <c r="A45" s="2" t="s">
        <v>357</v>
      </c>
      <c r="B45" s="2" t="s">
        <v>358</v>
      </c>
      <c r="C45" s="2" t="s">
        <v>202</v>
      </c>
      <c r="D45" s="2" t="s">
        <v>110</v>
      </c>
      <c r="E45" s="2" t="s">
        <v>359</v>
      </c>
      <c r="F45" s="2" t="s">
        <v>360</v>
      </c>
      <c r="G45" s="2" t="s">
        <v>361</v>
      </c>
      <c r="H45" s="2" t="s">
        <v>242</v>
      </c>
      <c r="I45" s="2" t="s">
        <v>42</v>
      </c>
      <c r="J45" s="2" t="s">
        <v>35</v>
      </c>
      <c r="K45" s="2" t="s">
        <v>36</v>
      </c>
      <c r="L45" s="2" t="s">
        <v>45</v>
      </c>
      <c r="M45" s="2" t="s">
        <v>45</v>
      </c>
      <c r="N45" s="2" t="s">
        <v>132</v>
      </c>
      <c r="O45" s="2"/>
    </row>
    <row r="46" spans="1:15" ht="200.25">
      <c r="A46" s="2" t="s">
        <v>362</v>
      </c>
      <c r="B46" s="2" t="s">
        <v>363</v>
      </c>
      <c r="C46" s="2" t="s">
        <v>190</v>
      </c>
      <c r="D46" s="2" t="s">
        <v>168</v>
      </c>
      <c r="E46" s="2" t="s">
        <v>364</v>
      </c>
      <c r="F46" s="2" t="s">
        <v>365</v>
      </c>
      <c r="G46" s="2" t="s">
        <v>366</v>
      </c>
      <c r="H46" s="2" t="s">
        <v>131</v>
      </c>
      <c r="I46" s="2" t="s">
        <v>42</v>
      </c>
      <c r="J46" s="2" t="s">
        <v>35</v>
      </c>
      <c r="K46" s="2" t="s">
        <v>36</v>
      </c>
      <c r="L46" s="2" t="s">
        <v>45</v>
      </c>
      <c r="M46" s="2" t="s">
        <v>45</v>
      </c>
      <c r="N46" s="2" t="s">
        <v>132</v>
      </c>
      <c r="O46" s="2"/>
    </row>
    <row r="47" spans="1:15" ht="200.25">
      <c r="A47" s="2" t="s">
        <v>367</v>
      </c>
      <c r="B47" s="2" t="s">
        <v>368</v>
      </c>
      <c r="C47" s="2" t="s">
        <v>157</v>
      </c>
      <c r="D47" s="2" t="s">
        <v>168</v>
      </c>
      <c r="E47" s="2" t="s">
        <v>369</v>
      </c>
      <c r="F47" s="2" t="s">
        <v>370</v>
      </c>
      <c r="G47" s="2" t="s">
        <v>371</v>
      </c>
      <c r="H47" s="2" t="s">
        <v>372</v>
      </c>
      <c r="I47" s="2" t="s">
        <v>42</v>
      </c>
      <c r="J47" s="2" t="s">
        <v>35</v>
      </c>
      <c r="K47" s="2" t="s">
        <v>36</v>
      </c>
      <c r="L47" s="2" t="s">
        <v>45</v>
      </c>
      <c r="M47" s="2" t="s">
        <v>45</v>
      </c>
      <c r="N47" s="2" t="s">
        <v>132</v>
      </c>
      <c r="O47" s="2"/>
    </row>
    <row r="48" spans="1:15" ht="200.25">
      <c r="A48" s="2" t="s">
        <v>373</v>
      </c>
      <c r="B48" s="2" t="s">
        <v>374</v>
      </c>
      <c r="C48" s="2" t="s">
        <v>233</v>
      </c>
      <c r="D48" s="2" t="s">
        <v>168</v>
      </c>
      <c r="E48" s="2" t="s">
        <v>375</v>
      </c>
      <c r="F48" s="2" t="s">
        <v>376</v>
      </c>
      <c r="G48" s="2" t="s">
        <v>377</v>
      </c>
      <c r="H48" s="2" t="s">
        <v>378</v>
      </c>
      <c r="I48" s="2" t="s">
        <v>42</v>
      </c>
      <c r="J48" s="2" t="s">
        <v>35</v>
      </c>
      <c r="K48" s="2" t="s">
        <v>36</v>
      </c>
      <c r="L48" s="2" t="s">
        <v>45</v>
      </c>
      <c r="M48" s="2" t="s">
        <v>45</v>
      </c>
      <c r="N48" s="2" t="s">
        <v>132</v>
      </c>
      <c r="O48" s="2"/>
    </row>
    <row r="49" spans="1:15" ht="200.25">
      <c r="A49" s="2" t="s">
        <v>379</v>
      </c>
      <c r="B49" s="2" t="s">
        <v>380</v>
      </c>
      <c r="C49" s="2" t="s">
        <v>233</v>
      </c>
      <c r="D49" s="2" t="s">
        <v>168</v>
      </c>
      <c r="E49" s="2" t="s">
        <v>381</v>
      </c>
      <c r="F49" s="2" t="s">
        <v>382</v>
      </c>
      <c r="G49" s="2" t="s">
        <v>383</v>
      </c>
      <c r="H49" s="2" t="s">
        <v>242</v>
      </c>
      <c r="I49" s="2" t="s">
        <v>42</v>
      </c>
      <c r="J49" s="2" t="s">
        <v>35</v>
      </c>
      <c r="K49" s="2" t="s">
        <v>36</v>
      </c>
      <c r="L49" s="2" t="s">
        <v>45</v>
      </c>
      <c r="M49" s="2" t="s">
        <v>45</v>
      </c>
      <c r="N49" s="2" t="s">
        <v>132</v>
      </c>
      <c r="O49" s="2"/>
    </row>
    <row r="50" spans="1:15" ht="200.25">
      <c r="A50" s="2" t="s">
        <v>384</v>
      </c>
      <c r="B50" s="2" t="s">
        <v>385</v>
      </c>
      <c r="C50" s="2" t="s">
        <v>202</v>
      </c>
      <c r="D50" s="2" t="s">
        <v>191</v>
      </c>
      <c r="E50" s="2" t="s">
        <v>386</v>
      </c>
      <c r="F50" s="2" t="s">
        <v>387</v>
      </c>
      <c r="G50" s="2" t="s">
        <v>388</v>
      </c>
      <c r="H50" s="2" t="s">
        <v>389</v>
      </c>
      <c r="I50" s="2" t="s">
        <v>42</v>
      </c>
      <c r="J50" s="2" t="s">
        <v>35</v>
      </c>
      <c r="K50" s="2" t="s">
        <v>36</v>
      </c>
      <c r="L50" s="2" t="s">
        <v>45</v>
      </c>
      <c r="M50" s="2" t="s">
        <v>45</v>
      </c>
      <c r="N50" s="2" t="s">
        <v>132</v>
      </c>
      <c r="O50" s="2"/>
    </row>
    <row r="51" spans="1:15" ht="200.25">
      <c r="A51" s="2" t="s">
        <v>390</v>
      </c>
      <c r="B51" s="2" t="s">
        <v>391</v>
      </c>
      <c r="C51" s="2" t="s">
        <v>190</v>
      </c>
      <c r="D51" s="2" t="s">
        <v>110</v>
      </c>
      <c r="E51" s="2" t="s">
        <v>392</v>
      </c>
      <c r="F51" s="2" t="s">
        <v>393</v>
      </c>
      <c r="G51" s="2" t="s">
        <v>394</v>
      </c>
      <c r="H51" s="2" t="s">
        <v>242</v>
      </c>
      <c r="I51" s="2" t="s">
        <v>42</v>
      </c>
      <c r="J51" s="2" t="s">
        <v>35</v>
      </c>
      <c r="K51" s="2" t="s">
        <v>36</v>
      </c>
      <c r="L51" s="2" t="s">
        <v>45</v>
      </c>
      <c r="M51" s="2" t="s">
        <v>45</v>
      </c>
      <c r="N51" s="2" t="s">
        <v>132</v>
      </c>
      <c r="O51" s="2"/>
    </row>
    <row r="52" spans="1:15" ht="200.25">
      <c r="A52" s="2" t="s">
        <v>395</v>
      </c>
      <c r="B52" s="2" t="s">
        <v>396</v>
      </c>
      <c r="C52" s="2" t="s">
        <v>233</v>
      </c>
      <c r="D52" s="2" t="s">
        <v>168</v>
      </c>
      <c r="E52" s="2" t="s">
        <v>397</v>
      </c>
      <c r="F52" s="2" t="s">
        <v>398</v>
      </c>
      <c r="G52" s="2" t="s">
        <v>399</v>
      </c>
      <c r="H52" s="2" t="s">
        <v>248</v>
      </c>
      <c r="I52" s="2" t="s">
        <v>42</v>
      </c>
      <c r="J52" s="2" t="s">
        <v>35</v>
      </c>
      <c r="K52" s="2" t="s">
        <v>36</v>
      </c>
      <c r="L52" s="2" t="s">
        <v>45</v>
      </c>
      <c r="M52" s="2" t="s">
        <v>45</v>
      </c>
      <c r="N52" s="2" t="s">
        <v>132</v>
      </c>
      <c r="O52" s="2"/>
    </row>
    <row r="53" spans="1:15" ht="200.25">
      <c r="A53" s="2" t="s">
        <v>400</v>
      </c>
      <c r="B53" s="2" t="s">
        <v>401</v>
      </c>
      <c r="C53" s="2" t="s">
        <v>190</v>
      </c>
      <c r="D53" s="2" t="s">
        <v>267</v>
      </c>
      <c r="E53" s="2" t="s">
        <v>402</v>
      </c>
      <c r="F53" s="2" t="s">
        <v>403</v>
      </c>
      <c r="G53" s="2" t="s">
        <v>404</v>
      </c>
      <c r="H53" s="2" t="s">
        <v>405</v>
      </c>
      <c r="I53" s="2" t="s">
        <v>34</v>
      </c>
      <c r="J53" s="2"/>
      <c r="K53" s="2" t="s">
        <v>36</v>
      </c>
      <c r="L53" s="2" t="s">
        <v>45</v>
      </c>
      <c r="M53" s="2" t="s">
        <v>45</v>
      </c>
      <c r="N53" s="2" t="s">
        <v>132</v>
      </c>
      <c r="O53" s="2"/>
    </row>
    <row r="54" spans="1:15" ht="200.25">
      <c r="A54" s="2" t="s">
        <v>406</v>
      </c>
      <c r="B54" s="2" t="s">
        <v>407</v>
      </c>
      <c r="C54" s="2" t="s">
        <v>202</v>
      </c>
      <c r="D54" s="2" t="s">
        <v>110</v>
      </c>
      <c r="E54" s="2" t="s">
        <v>408</v>
      </c>
      <c r="F54" s="2" t="s">
        <v>409</v>
      </c>
      <c r="G54" s="2" t="s">
        <v>410</v>
      </c>
      <c r="H54" s="2" t="s">
        <v>242</v>
      </c>
      <c r="I54" s="2" t="s">
        <v>42</v>
      </c>
      <c r="J54" s="2" t="s">
        <v>35</v>
      </c>
      <c r="K54" s="2" t="s">
        <v>36</v>
      </c>
      <c r="L54" s="2" t="s">
        <v>45</v>
      </c>
      <c r="M54" s="2" t="s">
        <v>45</v>
      </c>
      <c r="N54" s="2" t="s">
        <v>132</v>
      </c>
      <c r="O54" s="2"/>
    </row>
    <row r="55" spans="1:15" ht="200.25">
      <c r="A55" s="2" t="s">
        <v>411</v>
      </c>
      <c r="B55" s="2" t="s">
        <v>412</v>
      </c>
      <c r="C55" s="2" t="s">
        <v>233</v>
      </c>
      <c r="D55" s="2" t="s">
        <v>104</v>
      </c>
      <c r="E55" s="2" t="s">
        <v>413</v>
      </c>
      <c r="F55" s="2" t="s">
        <v>414</v>
      </c>
      <c r="G55" s="2" t="s">
        <v>415</v>
      </c>
      <c r="H55" s="2" t="s">
        <v>248</v>
      </c>
      <c r="I55" s="2" t="s">
        <v>42</v>
      </c>
      <c r="J55" s="2" t="s">
        <v>35</v>
      </c>
      <c r="K55" s="2" t="s">
        <v>36</v>
      </c>
      <c r="L55" s="2" t="s">
        <v>45</v>
      </c>
      <c r="M55" s="2" t="s">
        <v>45</v>
      </c>
      <c r="N55" s="2" t="s">
        <v>132</v>
      </c>
      <c r="O55" s="2"/>
    </row>
    <row r="56" spans="1:15" ht="183.75">
      <c r="A56" s="2" t="s">
        <v>416</v>
      </c>
      <c r="B56" s="2" t="s">
        <v>417</v>
      </c>
      <c r="C56" s="2" t="s">
        <v>190</v>
      </c>
      <c r="D56" s="2" t="s">
        <v>104</v>
      </c>
      <c r="E56" s="2" t="s">
        <v>418</v>
      </c>
      <c r="F56" s="2" t="s">
        <v>419</v>
      </c>
      <c r="G56" s="2" t="s">
        <v>420</v>
      </c>
      <c r="H56" s="2" t="s">
        <v>248</v>
      </c>
      <c r="I56" s="2" t="s">
        <v>42</v>
      </c>
      <c r="J56" s="2" t="s">
        <v>43</v>
      </c>
      <c r="K56" s="2" t="s">
        <v>36</v>
      </c>
      <c r="L56" s="2" t="s">
        <v>45</v>
      </c>
      <c r="M56" s="2" t="s">
        <v>45</v>
      </c>
      <c r="N56" s="2" t="s">
        <v>132</v>
      </c>
      <c r="O56" s="2"/>
    </row>
    <row r="57" spans="1:15" ht="216.75">
      <c r="A57" s="2" t="s">
        <v>421</v>
      </c>
      <c r="B57" s="2" t="s">
        <v>422</v>
      </c>
      <c r="C57" s="2" t="s">
        <v>157</v>
      </c>
      <c r="D57" s="2" t="s">
        <v>110</v>
      </c>
      <c r="E57" s="2" t="s">
        <v>423</v>
      </c>
      <c r="F57" s="2" t="s">
        <v>424</v>
      </c>
      <c r="G57" s="2" t="s">
        <v>425</v>
      </c>
      <c r="H57" s="2" t="s">
        <v>426</v>
      </c>
      <c r="I57" s="2" t="s">
        <v>42</v>
      </c>
      <c r="J57" s="2" t="s">
        <v>35</v>
      </c>
      <c r="K57" s="2" t="s">
        <v>36</v>
      </c>
      <c r="L57" s="2" t="s">
        <v>45</v>
      </c>
      <c r="M57" s="2" t="s">
        <v>45</v>
      </c>
      <c r="N57" s="2" t="s">
        <v>132</v>
      </c>
      <c r="O57" s="2"/>
    </row>
    <row r="58" spans="1:15" ht="200.25">
      <c r="A58" s="2" t="s">
        <v>427</v>
      </c>
      <c r="B58" s="2" t="s">
        <v>428</v>
      </c>
      <c r="C58" s="2" t="s">
        <v>141</v>
      </c>
      <c r="D58" s="2" t="s">
        <v>300</v>
      </c>
      <c r="E58" s="2" t="s">
        <v>429</v>
      </c>
      <c r="F58" s="2" t="s">
        <v>430</v>
      </c>
      <c r="G58" s="2" t="s">
        <v>431</v>
      </c>
      <c r="H58" s="2" t="s">
        <v>432</v>
      </c>
      <c r="I58" s="2" t="s">
        <v>42</v>
      </c>
      <c r="J58" s="2" t="s">
        <v>68</v>
      </c>
      <c r="K58" s="2" t="s">
        <v>36</v>
      </c>
      <c r="L58" s="2" t="s">
        <v>45</v>
      </c>
      <c r="M58" s="2" t="s">
        <v>45</v>
      </c>
      <c r="N58" s="2" t="s">
        <v>132</v>
      </c>
      <c r="O58" s="2"/>
    </row>
    <row r="59" spans="1:15" ht="200.25">
      <c r="A59" s="2" t="s">
        <v>433</v>
      </c>
      <c r="B59" s="2" t="s">
        <v>434</v>
      </c>
      <c r="C59" s="2" t="s">
        <v>157</v>
      </c>
      <c r="D59" s="2" t="s">
        <v>191</v>
      </c>
      <c r="E59" s="2" t="s">
        <v>435</v>
      </c>
      <c r="F59" s="2" t="s">
        <v>436</v>
      </c>
      <c r="G59" s="2" t="s">
        <v>437</v>
      </c>
      <c r="H59" s="2" t="s">
        <v>248</v>
      </c>
      <c r="I59" s="2" t="s">
        <v>42</v>
      </c>
      <c r="J59" s="2" t="s">
        <v>35</v>
      </c>
      <c r="K59" s="2" t="s">
        <v>36</v>
      </c>
      <c r="L59" s="2" t="s">
        <v>45</v>
      </c>
      <c r="M59" s="2" t="s">
        <v>45</v>
      </c>
      <c r="N59" s="2" t="s">
        <v>132</v>
      </c>
      <c r="O59" s="2"/>
    </row>
    <row r="60" spans="1:15" ht="200.25">
      <c r="A60" s="2" t="s">
        <v>438</v>
      </c>
      <c r="B60" s="2" t="s">
        <v>439</v>
      </c>
      <c r="C60" s="2" t="s">
        <v>202</v>
      </c>
      <c r="D60" s="2" t="s">
        <v>300</v>
      </c>
      <c r="E60" s="2" t="s">
        <v>440</v>
      </c>
      <c r="F60" s="2" t="s">
        <v>441</v>
      </c>
      <c r="G60" s="2" t="s">
        <v>442</v>
      </c>
      <c r="H60" s="2" t="s">
        <v>264</v>
      </c>
      <c r="I60" s="2" t="s">
        <v>34</v>
      </c>
      <c r="J60" s="2"/>
      <c r="K60" s="2" t="s">
        <v>36</v>
      </c>
      <c r="L60" s="2" t="s">
        <v>45</v>
      </c>
      <c r="M60" s="2" t="s">
        <v>45</v>
      </c>
      <c r="N60" s="2" t="s">
        <v>132</v>
      </c>
      <c r="O60" s="2"/>
    </row>
    <row r="61" spans="1:15" ht="168">
      <c r="A61" s="2" t="s">
        <v>443</v>
      </c>
      <c r="B61" s="2" t="s">
        <v>444</v>
      </c>
      <c r="C61" s="2" t="s">
        <v>152</v>
      </c>
      <c r="D61" s="2" t="s">
        <v>104</v>
      </c>
      <c r="E61" s="2" t="s">
        <v>445</v>
      </c>
      <c r="F61" s="2" t="s">
        <v>446</v>
      </c>
      <c r="G61" s="2" t="s">
        <v>447</v>
      </c>
      <c r="H61" s="2" t="s">
        <v>131</v>
      </c>
      <c r="I61" s="2" t="s">
        <v>42</v>
      </c>
      <c r="J61" s="2" t="s">
        <v>73</v>
      </c>
      <c r="K61" s="2" t="s">
        <v>36</v>
      </c>
      <c r="L61" s="2" t="s">
        <v>45</v>
      </c>
      <c r="M61" s="2" t="s">
        <v>45</v>
      </c>
      <c r="N61" s="2" t="s">
        <v>132</v>
      </c>
      <c r="O61" s="2"/>
    </row>
    <row r="62" spans="1:15" ht="200.25">
      <c r="A62" s="2" t="s">
        <v>448</v>
      </c>
      <c r="B62" s="2" t="s">
        <v>449</v>
      </c>
      <c r="C62" s="2" t="s">
        <v>190</v>
      </c>
      <c r="D62" s="2" t="s">
        <v>191</v>
      </c>
      <c r="E62" s="2" t="s">
        <v>450</v>
      </c>
      <c r="F62" s="2" t="s">
        <v>451</v>
      </c>
      <c r="G62" s="2" t="s">
        <v>452</v>
      </c>
      <c r="H62" s="2" t="s">
        <v>248</v>
      </c>
      <c r="I62" s="2" t="s">
        <v>42</v>
      </c>
      <c r="J62" s="2" t="s">
        <v>35</v>
      </c>
      <c r="K62" s="2" t="s">
        <v>36</v>
      </c>
      <c r="L62" s="2" t="s">
        <v>45</v>
      </c>
      <c r="M62" s="2" t="s">
        <v>45</v>
      </c>
      <c r="N62" s="2" t="s">
        <v>132</v>
      </c>
      <c r="O62" s="2"/>
    </row>
    <row r="63" spans="1:15" ht="200.25">
      <c r="A63" s="2" t="s">
        <v>453</v>
      </c>
      <c r="B63" s="2" t="s">
        <v>454</v>
      </c>
      <c r="C63" s="2" t="s">
        <v>233</v>
      </c>
      <c r="D63" s="2" t="s">
        <v>168</v>
      </c>
      <c r="E63" s="2" t="s">
        <v>455</v>
      </c>
      <c r="F63" s="2" t="s">
        <v>456</v>
      </c>
      <c r="G63" s="2" t="s">
        <v>457</v>
      </c>
      <c r="H63" s="2" t="s">
        <v>242</v>
      </c>
      <c r="I63" s="2" t="s">
        <v>42</v>
      </c>
      <c r="J63" s="2" t="s">
        <v>35</v>
      </c>
      <c r="K63" s="2" t="s">
        <v>36</v>
      </c>
      <c r="L63" s="2" t="s">
        <v>45</v>
      </c>
      <c r="M63" s="2" t="s">
        <v>45</v>
      </c>
      <c r="N63" s="2" t="s">
        <v>132</v>
      </c>
      <c r="O63" s="2"/>
    </row>
    <row r="64" spans="1:15" ht="200.25">
      <c r="A64" s="2" t="s">
        <v>458</v>
      </c>
      <c r="B64" s="2" t="s">
        <v>459</v>
      </c>
      <c r="C64" s="2" t="s">
        <v>167</v>
      </c>
      <c r="D64" s="2" t="s">
        <v>104</v>
      </c>
      <c r="E64" s="2" t="s">
        <v>460</v>
      </c>
      <c r="F64" s="2" t="s">
        <v>461</v>
      </c>
      <c r="G64" s="2" t="s">
        <v>462</v>
      </c>
      <c r="H64" s="2" t="s">
        <v>248</v>
      </c>
      <c r="I64" s="2" t="s">
        <v>42</v>
      </c>
      <c r="J64" s="2" t="s">
        <v>77</v>
      </c>
      <c r="K64" s="2" t="s">
        <v>36</v>
      </c>
      <c r="L64" s="2" t="s">
        <v>45</v>
      </c>
      <c r="M64" s="2" t="s">
        <v>45</v>
      </c>
      <c r="N64" s="2" t="s">
        <v>132</v>
      </c>
      <c r="O64" s="2"/>
    </row>
    <row r="65" spans="1:15" ht="200.25">
      <c r="A65" s="2" t="s">
        <v>463</v>
      </c>
      <c r="B65" s="2" t="s">
        <v>464</v>
      </c>
      <c r="C65" s="2" t="s">
        <v>157</v>
      </c>
      <c r="D65" s="2" t="s">
        <v>110</v>
      </c>
      <c r="E65" s="2" t="s">
        <v>465</v>
      </c>
      <c r="F65" s="2" t="s">
        <v>466</v>
      </c>
      <c r="G65" s="2" t="s">
        <v>467</v>
      </c>
      <c r="H65" s="2" t="s">
        <v>468</v>
      </c>
      <c r="I65" s="2" t="s">
        <v>34</v>
      </c>
      <c r="J65" s="2"/>
      <c r="K65" s="2" t="s">
        <v>44</v>
      </c>
      <c r="L65" s="2" t="s">
        <v>45</v>
      </c>
      <c r="M65" s="2" t="s">
        <v>45</v>
      </c>
      <c r="N65" s="2" t="s">
        <v>132</v>
      </c>
      <c r="O65" s="2" t="s">
        <v>469</v>
      </c>
    </row>
    <row r="66" spans="1:15" ht="200.25">
      <c r="A66" s="2" t="s">
        <v>470</v>
      </c>
      <c r="B66" s="2" t="s">
        <v>471</v>
      </c>
      <c r="C66" s="2" t="s">
        <v>233</v>
      </c>
      <c r="D66" s="2" t="s">
        <v>168</v>
      </c>
      <c r="E66" s="2" t="s">
        <v>472</v>
      </c>
      <c r="F66" s="2" t="s">
        <v>473</v>
      </c>
      <c r="G66" s="2" t="s">
        <v>474</v>
      </c>
      <c r="H66" s="2" t="s">
        <v>475</v>
      </c>
      <c r="I66" s="2" t="s">
        <v>42</v>
      </c>
      <c r="J66" s="2" t="s">
        <v>35</v>
      </c>
      <c r="K66" s="2" t="s">
        <v>36</v>
      </c>
      <c r="L66" s="2" t="s">
        <v>45</v>
      </c>
      <c r="M66" s="2" t="s">
        <v>45</v>
      </c>
      <c r="N66" s="2" t="s">
        <v>132</v>
      </c>
      <c r="O66" s="2"/>
    </row>
    <row r="67" spans="1:15" ht="200.25">
      <c r="A67" s="2" t="s">
        <v>476</v>
      </c>
      <c r="B67" s="2" t="s">
        <v>477</v>
      </c>
      <c r="C67" s="2" t="s">
        <v>233</v>
      </c>
      <c r="D67" s="2" t="s">
        <v>168</v>
      </c>
      <c r="E67" s="2" t="s">
        <v>478</v>
      </c>
      <c r="F67" s="2" t="s">
        <v>479</v>
      </c>
      <c r="G67" s="2" t="s">
        <v>480</v>
      </c>
      <c r="H67" s="2" t="s">
        <v>378</v>
      </c>
      <c r="I67" s="2" t="s">
        <v>42</v>
      </c>
      <c r="J67" s="2" t="s">
        <v>43</v>
      </c>
      <c r="K67" s="2" t="s">
        <v>36</v>
      </c>
      <c r="L67" s="2" t="s">
        <v>45</v>
      </c>
      <c r="M67" s="2" t="s">
        <v>45</v>
      </c>
      <c r="N67" s="2" t="s">
        <v>132</v>
      </c>
      <c r="O67" s="2"/>
    </row>
    <row r="68" spans="1:15" ht="216.75">
      <c r="A68" s="2" t="s">
        <v>481</v>
      </c>
      <c r="B68" s="2" t="s">
        <v>482</v>
      </c>
      <c r="C68" s="2" t="s">
        <v>233</v>
      </c>
      <c r="D68" s="2" t="s">
        <v>191</v>
      </c>
      <c r="E68" s="2" t="s">
        <v>483</v>
      </c>
      <c r="F68" s="2" t="s">
        <v>484</v>
      </c>
      <c r="G68" s="2" t="s">
        <v>485</v>
      </c>
      <c r="H68" s="2" t="s">
        <v>248</v>
      </c>
      <c r="I68" s="2" t="s">
        <v>42</v>
      </c>
      <c r="J68" s="2" t="s">
        <v>43</v>
      </c>
      <c r="K68" s="2" t="s">
        <v>36</v>
      </c>
      <c r="L68" s="2" t="s">
        <v>45</v>
      </c>
      <c r="M68" s="2" t="s">
        <v>45</v>
      </c>
      <c r="N68" s="2" t="s">
        <v>132</v>
      </c>
      <c r="O68" s="2"/>
    </row>
    <row r="69" spans="1:15" ht="200.25">
      <c r="A69" s="2" t="s">
        <v>486</v>
      </c>
      <c r="B69" s="2" t="s">
        <v>487</v>
      </c>
      <c r="C69" s="2" t="s">
        <v>167</v>
      </c>
      <c r="D69" s="2" t="s">
        <v>168</v>
      </c>
      <c r="E69" s="2" t="s">
        <v>488</v>
      </c>
      <c r="F69" s="2" t="s">
        <v>489</v>
      </c>
      <c r="G69" s="2" t="s">
        <v>490</v>
      </c>
      <c r="H69" s="2" t="s">
        <v>491</v>
      </c>
      <c r="I69" s="2" t="s">
        <v>42</v>
      </c>
      <c r="J69" s="2" t="s">
        <v>43</v>
      </c>
      <c r="K69" s="2" t="s">
        <v>36</v>
      </c>
      <c r="L69" s="2" t="s">
        <v>45</v>
      </c>
      <c r="M69" s="2" t="s">
        <v>45</v>
      </c>
      <c r="N69" s="2" t="s">
        <v>132</v>
      </c>
      <c r="O69" s="2"/>
    </row>
    <row r="70" spans="1:15" ht="200.25">
      <c r="A70" s="2" t="s">
        <v>492</v>
      </c>
      <c r="B70" s="2" t="s">
        <v>493</v>
      </c>
      <c r="C70" s="2" t="s">
        <v>233</v>
      </c>
      <c r="D70" s="2" t="s">
        <v>267</v>
      </c>
      <c r="E70" s="2" t="s">
        <v>494</v>
      </c>
      <c r="F70" s="2" t="s">
        <v>495</v>
      </c>
      <c r="G70" s="2" t="s">
        <v>496</v>
      </c>
      <c r="H70" s="2" t="s">
        <v>264</v>
      </c>
      <c r="I70" s="2" t="s">
        <v>34</v>
      </c>
      <c r="J70" s="2"/>
      <c r="K70" s="2" t="s">
        <v>36</v>
      </c>
      <c r="L70" s="2" t="s">
        <v>45</v>
      </c>
      <c r="M70" s="2" t="s">
        <v>45</v>
      </c>
      <c r="N70" s="2" t="s">
        <v>132</v>
      </c>
      <c r="O70" s="2"/>
    </row>
    <row r="71" spans="1:15" ht="200.25">
      <c r="A71" s="2" t="s">
        <v>497</v>
      </c>
      <c r="B71" s="2" t="s">
        <v>498</v>
      </c>
      <c r="C71" s="2" t="s">
        <v>202</v>
      </c>
      <c r="D71" s="2" t="s">
        <v>168</v>
      </c>
      <c r="E71" s="2" t="s">
        <v>499</v>
      </c>
      <c r="F71" s="2" t="s">
        <v>500</v>
      </c>
      <c r="G71" s="2" t="s">
        <v>501</v>
      </c>
      <c r="H71" s="2" t="s">
        <v>502</v>
      </c>
      <c r="I71" s="2" t="s">
        <v>42</v>
      </c>
      <c r="J71" s="2" t="s">
        <v>35</v>
      </c>
      <c r="K71" s="2" t="s">
        <v>36</v>
      </c>
      <c r="L71" s="2" t="s">
        <v>45</v>
      </c>
      <c r="M71" s="2" t="s">
        <v>45</v>
      </c>
      <c r="N71" s="2" t="s">
        <v>132</v>
      </c>
      <c r="O71" s="2"/>
    </row>
    <row r="72" spans="1:15" ht="200.25">
      <c r="A72" s="2" t="s">
        <v>503</v>
      </c>
      <c r="B72" s="2" t="s">
        <v>504</v>
      </c>
      <c r="C72" s="2" t="s">
        <v>202</v>
      </c>
      <c r="D72" s="2" t="s">
        <v>110</v>
      </c>
      <c r="E72" s="2" t="s">
        <v>505</v>
      </c>
      <c r="F72" s="2" t="s">
        <v>506</v>
      </c>
      <c r="G72" s="2" t="s">
        <v>507</v>
      </c>
      <c r="H72" s="2" t="s">
        <v>264</v>
      </c>
      <c r="I72" s="2" t="s">
        <v>34</v>
      </c>
      <c r="J72" s="2"/>
      <c r="K72" s="2" t="s">
        <v>36</v>
      </c>
      <c r="L72" s="2" t="s">
        <v>45</v>
      </c>
      <c r="M72" s="2" t="s">
        <v>45</v>
      </c>
      <c r="N72" s="2" t="s">
        <v>132</v>
      </c>
      <c r="O72" s="2" t="s">
        <v>508</v>
      </c>
    </row>
    <row r="73" spans="1:15" ht="200.25">
      <c r="A73" s="2" t="s">
        <v>509</v>
      </c>
      <c r="B73" s="2" t="s">
        <v>510</v>
      </c>
      <c r="C73" s="2" t="s">
        <v>167</v>
      </c>
      <c r="D73" s="2" t="s">
        <v>168</v>
      </c>
      <c r="E73" s="2" t="s">
        <v>511</v>
      </c>
      <c r="F73" s="2" t="s">
        <v>512</v>
      </c>
      <c r="G73" s="2" t="s">
        <v>513</v>
      </c>
      <c r="H73" s="2" t="s">
        <v>248</v>
      </c>
      <c r="I73" s="2" t="s">
        <v>42</v>
      </c>
      <c r="J73" s="2" t="s">
        <v>35</v>
      </c>
      <c r="K73" s="2" t="s">
        <v>36</v>
      </c>
      <c r="L73" s="2" t="s">
        <v>45</v>
      </c>
      <c r="M73" s="2" t="s">
        <v>45</v>
      </c>
      <c r="N73" s="2" t="s">
        <v>132</v>
      </c>
      <c r="O73" s="2"/>
    </row>
    <row r="74" spans="1:15" ht="200.25">
      <c r="A74" s="2" t="s">
        <v>514</v>
      </c>
      <c r="B74" s="2" t="s">
        <v>515</v>
      </c>
      <c r="C74" s="2" t="s">
        <v>167</v>
      </c>
      <c r="D74" s="2" t="s">
        <v>104</v>
      </c>
      <c r="E74" s="2" t="s">
        <v>516</v>
      </c>
      <c r="F74" s="2" t="s">
        <v>517</v>
      </c>
      <c r="G74" s="2" t="s">
        <v>518</v>
      </c>
      <c r="H74" s="2" t="s">
        <v>405</v>
      </c>
      <c r="I74" s="2" t="s">
        <v>34</v>
      </c>
      <c r="J74" s="2"/>
      <c r="K74" s="2" t="s">
        <v>36</v>
      </c>
      <c r="L74" s="2" t="s">
        <v>45</v>
      </c>
      <c r="M74" s="2" t="s">
        <v>45</v>
      </c>
      <c r="N74" s="2" t="s">
        <v>132</v>
      </c>
      <c r="O74" s="2"/>
    </row>
    <row r="75" spans="1:15" ht="200.25">
      <c r="A75" s="2" t="s">
        <v>519</v>
      </c>
      <c r="B75" s="2" t="s">
        <v>520</v>
      </c>
      <c r="C75" s="2" t="s">
        <v>202</v>
      </c>
      <c r="D75" s="2" t="s">
        <v>191</v>
      </c>
      <c r="E75" s="2" t="s">
        <v>521</v>
      </c>
      <c r="F75" s="2" t="s">
        <v>522</v>
      </c>
      <c r="G75" s="2" t="s">
        <v>523</v>
      </c>
      <c r="H75" s="2" t="s">
        <v>248</v>
      </c>
      <c r="I75" s="2" t="s">
        <v>42</v>
      </c>
      <c r="J75" s="2" t="s">
        <v>43</v>
      </c>
      <c r="K75" s="2" t="s">
        <v>36</v>
      </c>
      <c r="L75" s="2" t="s">
        <v>45</v>
      </c>
      <c r="M75" s="2" t="s">
        <v>45</v>
      </c>
      <c r="N75" s="2" t="s">
        <v>132</v>
      </c>
      <c r="O75" s="2"/>
    </row>
    <row r="76" spans="1:15" ht="84">
      <c r="A76" s="2" t="s">
        <v>524</v>
      </c>
      <c r="B76" s="2" t="s">
        <v>525</v>
      </c>
      <c r="C76" s="2" t="s">
        <v>190</v>
      </c>
      <c r="D76" s="2" t="s">
        <v>168</v>
      </c>
      <c r="E76" s="2" t="s">
        <v>526</v>
      </c>
      <c r="F76" s="2" t="s">
        <v>527</v>
      </c>
      <c r="G76" s="2" t="s">
        <v>528</v>
      </c>
      <c r="H76" s="2" t="s">
        <v>372</v>
      </c>
      <c r="I76" s="2" t="s">
        <v>42</v>
      </c>
      <c r="J76" s="2" t="s">
        <v>35</v>
      </c>
      <c r="K76" s="2" t="s">
        <v>36</v>
      </c>
      <c r="L76" s="2" t="s">
        <v>45</v>
      </c>
      <c r="M76" s="2" t="s">
        <v>45</v>
      </c>
      <c r="N76" s="2" t="s">
        <v>132</v>
      </c>
      <c r="O76" s="2"/>
    </row>
    <row r="77" spans="1:15" ht="200.25">
      <c r="A77" s="2" t="s">
        <v>529</v>
      </c>
      <c r="B77" s="2" t="s">
        <v>530</v>
      </c>
      <c r="C77" s="2" t="s">
        <v>202</v>
      </c>
      <c r="D77" s="2" t="s">
        <v>300</v>
      </c>
      <c r="E77" s="2" t="s">
        <v>531</v>
      </c>
      <c r="F77" s="2" t="s">
        <v>532</v>
      </c>
      <c r="G77" s="2" t="s">
        <v>533</v>
      </c>
      <c r="H77" s="2" t="s">
        <v>264</v>
      </c>
      <c r="I77" s="2" t="s">
        <v>34</v>
      </c>
      <c r="J77" s="2"/>
      <c r="K77" s="2" t="s">
        <v>36</v>
      </c>
      <c r="L77" s="2" t="s">
        <v>45</v>
      </c>
      <c r="M77" s="2" t="s">
        <v>45</v>
      </c>
      <c r="N77" s="2" t="s">
        <v>132</v>
      </c>
      <c r="O77" s="2"/>
    </row>
    <row r="78" spans="1:15" ht="200.25">
      <c r="A78" s="2" t="s">
        <v>534</v>
      </c>
      <c r="B78" s="2" t="s">
        <v>535</v>
      </c>
      <c r="C78" s="2" t="s">
        <v>157</v>
      </c>
      <c r="D78" s="2" t="s">
        <v>191</v>
      </c>
      <c r="E78" s="2" t="s">
        <v>536</v>
      </c>
      <c r="F78" s="2" t="s">
        <v>537</v>
      </c>
      <c r="G78" s="2" t="s">
        <v>538</v>
      </c>
      <c r="H78" s="2" t="s">
        <v>264</v>
      </c>
      <c r="I78" s="2" t="s">
        <v>34</v>
      </c>
      <c r="J78" s="2"/>
      <c r="K78" s="2" t="s">
        <v>36</v>
      </c>
      <c r="L78" s="2" t="s">
        <v>45</v>
      </c>
      <c r="M78" s="2" t="s">
        <v>45</v>
      </c>
      <c r="N78" s="2" t="s">
        <v>132</v>
      </c>
      <c r="O78" s="2"/>
    </row>
    <row r="79" spans="1:15" ht="200.25">
      <c r="A79" s="2" t="s">
        <v>539</v>
      </c>
      <c r="B79" s="2" t="s">
        <v>540</v>
      </c>
      <c r="C79" s="2" t="s">
        <v>157</v>
      </c>
      <c r="D79" s="2" t="s">
        <v>168</v>
      </c>
      <c r="E79" s="2" t="s">
        <v>541</v>
      </c>
      <c r="F79" s="2" t="s">
        <v>542</v>
      </c>
      <c r="G79" s="2" t="s">
        <v>543</v>
      </c>
      <c r="H79" s="2" t="s">
        <v>248</v>
      </c>
      <c r="I79" s="2" t="s">
        <v>42</v>
      </c>
      <c r="J79" s="2" t="s">
        <v>35</v>
      </c>
      <c r="K79" s="2" t="s">
        <v>36</v>
      </c>
      <c r="L79" s="2" t="s">
        <v>45</v>
      </c>
      <c r="M79" s="2" t="s">
        <v>45</v>
      </c>
      <c r="N79" s="2" t="s">
        <v>132</v>
      </c>
      <c r="O79" s="2"/>
    </row>
    <row r="80" spans="1:15" ht="200.25">
      <c r="A80" s="2" t="s">
        <v>544</v>
      </c>
      <c r="B80" s="2" t="s">
        <v>545</v>
      </c>
      <c r="C80" s="2" t="s">
        <v>167</v>
      </c>
      <c r="D80" s="2" t="s">
        <v>300</v>
      </c>
      <c r="E80" s="2" t="s">
        <v>546</v>
      </c>
      <c r="F80" s="2" t="s">
        <v>547</v>
      </c>
      <c r="G80" s="2" t="s">
        <v>548</v>
      </c>
      <c r="H80" s="2" t="s">
        <v>264</v>
      </c>
      <c r="I80" s="2" t="s">
        <v>34</v>
      </c>
      <c r="J80" s="2"/>
      <c r="K80" s="2" t="s">
        <v>36</v>
      </c>
      <c r="L80" s="2" t="s">
        <v>45</v>
      </c>
      <c r="M80" s="2" t="s">
        <v>45</v>
      </c>
      <c r="N80" s="2" t="s">
        <v>132</v>
      </c>
      <c r="O80" s="2"/>
    </row>
    <row r="81" spans="1:15" ht="200.25">
      <c r="A81" s="2" t="s">
        <v>549</v>
      </c>
      <c r="B81" s="2" t="s">
        <v>550</v>
      </c>
      <c r="C81" s="2" t="s">
        <v>190</v>
      </c>
      <c r="D81" s="2" t="s">
        <v>267</v>
      </c>
      <c r="E81" s="2" t="s">
        <v>551</v>
      </c>
      <c r="F81" s="2" t="s">
        <v>552</v>
      </c>
      <c r="G81" s="2" t="s">
        <v>553</v>
      </c>
      <c r="H81" s="2" t="s">
        <v>264</v>
      </c>
      <c r="I81" s="2" t="s">
        <v>42</v>
      </c>
      <c r="J81" s="2" t="s">
        <v>43</v>
      </c>
      <c r="K81" s="2" t="s">
        <v>36</v>
      </c>
      <c r="L81" s="2" t="s">
        <v>45</v>
      </c>
      <c r="M81" s="2" t="s">
        <v>45</v>
      </c>
      <c r="N81" s="2" t="s">
        <v>132</v>
      </c>
      <c r="O81" s="2" t="s">
        <v>554</v>
      </c>
    </row>
    <row r="82" spans="1:15" ht="200.25">
      <c r="A82" s="2" t="s">
        <v>555</v>
      </c>
      <c r="B82" s="2" t="s">
        <v>556</v>
      </c>
      <c r="C82" s="2" t="s">
        <v>167</v>
      </c>
      <c r="D82" s="2" t="s">
        <v>191</v>
      </c>
      <c r="E82" s="2" t="s">
        <v>557</v>
      </c>
      <c r="F82" s="2" t="s">
        <v>558</v>
      </c>
      <c r="G82" s="2" t="s">
        <v>559</v>
      </c>
      <c r="H82" s="2" t="s">
        <v>248</v>
      </c>
      <c r="I82" s="2" t="s">
        <v>42</v>
      </c>
      <c r="J82" s="2" t="s">
        <v>73</v>
      </c>
      <c r="K82" s="2" t="s">
        <v>36</v>
      </c>
      <c r="L82" s="2" t="s">
        <v>45</v>
      </c>
      <c r="M82" s="2" t="s">
        <v>45</v>
      </c>
      <c r="N82" s="2" t="s">
        <v>132</v>
      </c>
      <c r="O82" s="2"/>
    </row>
    <row r="83" spans="1:15" ht="216.75">
      <c r="A83" s="2" t="s">
        <v>560</v>
      </c>
      <c r="B83" s="2" t="s">
        <v>561</v>
      </c>
      <c r="C83" s="2" t="s">
        <v>233</v>
      </c>
      <c r="D83" s="2" t="s">
        <v>110</v>
      </c>
      <c r="E83" s="2" t="s">
        <v>562</v>
      </c>
      <c r="F83" s="2" t="s">
        <v>563</v>
      </c>
      <c r="G83" s="2" t="s">
        <v>564</v>
      </c>
      <c r="H83" s="2" t="s">
        <v>264</v>
      </c>
      <c r="I83" s="2" t="s">
        <v>34</v>
      </c>
      <c r="J83" s="2"/>
      <c r="K83" s="2" t="s">
        <v>36</v>
      </c>
      <c r="L83" s="2" t="s">
        <v>45</v>
      </c>
      <c r="M83" s="2" t="s">
        <v>45</v>
      </c>
      <c r="N83" s="2" t="s">
        <v>132</v>
      </c>
      <c r="O83" s="2"/>
    </row>
    <row r="84" spans="1:15" ht="200.25">
      <c r="A84" s="2" t="s">
        <v>565</v>
      </c>
      <c r="B84" s="2" t="s">
        <v>566</v>
      </c>
      <c r="C84" s="2" t="s">
        <v>202</v>
      </c>
      <c r="D84" s="2" t="s">
        <v>267</v>
      </c>
      <c r="E84" s="2" t="s">
        <v>567</v>
      </c>
      <c r="F84" s="2" t="s">
        <v>568</v>
      </c>
      <c r="G84" s="2" t="s">
        <v>569</v>
      </c>
      <c r="H84" s="2" t="s">
        <v>264</v>
      </c>
      <c r="I84" s="2" t="s">
        <v>34</v>
      </c>
      <c r="J84" s="2"/>
      <c r="K84" s="2" t="s">
        <v>36</v>
      </c>
      <c r="L84" s="2" t="s">
        <v>45</v>
      </c>
      <c r="M84" s="2" t="s">
        <v>45</v>
      </c>
      <c r="N84" s="2" t="s">
        <v>132</v>
      </c>
      <c r="O84" s="2"/>
    </row>
    <row r="85" spans="1:15" ht="200.25">
      <c r="A85" s="2" t="s">
        <v>570</v>
      </c>
      <c r="B85" s="2" t="s">
        <v>571</v>
      </c>
      <c r="C85" s="2" t="s">
        <v>233</v>
      </c>
      <c r="D85" s="2" t="s">
        <v>168</v>
      </c>
      <c r="E85" s="2" t="s">
        <v>572</v>
      </c>
      <c r="F85" s="2" t="s">
        <v>573</v>
      </c>
      <c r="G85" s="2" t="s">
        <v>574</v>
      </c>
      <c r="H85" s="2" t="s">
        <v>242</v>
      </c>
      <c r="I85" s="2" t="s">
        <v>42</v>
      </c>
      <c r="J85" s="2" t="s">
        <v>35</v>
      </c>
      <c r="K85" s="2" t="s">
        <v>36</v>
      </c>
      <c r="L85" s="2" t="s">
        <v>45</v>
      </c>
      <c r="M85" s="2" t="s">
        <v>45</v>
      </c>
      <c r="N85" s="2" t="s">
        <v>132</v>
      </c>
      <c r="O85" s="2"/>
    </row>
    <row r="86" spans="1:15" ht="168">
      <c r="A86" s="2" t="s">
        <v>575</v>
      </c>
      <c r="B86" s="2" t="s">
        <v>576</v>
      </c>
      <c r="C86" s="2" t="s">
        <v>202</v>
      </c>
      <c r="D86" s="2" t="s">
        <v>110</v>
      </c>
      <c r="E86" s="2" t="s">
        <v>577</v>
      </c>
      <c r="F86" s="2" t="s">
        <v>578</v>
      </c>
      <c r="G86" s="2" t="s">
        <v>579</v>
      </c>
      <c r="H86" s="2" t="s">
        <v>580</v>
      </c>
      <c r="I86" s="2" t="s">
        <v>42</v>
      </c>
      <c r="J86" s="2" t="s">
        <v>35</v>
      </c>
      <c r="K86" s="2" t="s">
        <v>36</v>
      </c>
      <c r="L86" s="2" t="s">
        <v>45</v>
      </c>
      <c r="M86" s="2" t="s">
        <v>45</v>
      </c>
      <c r="N86" s="2" t="s">
        <v>132</v>
      </c>
      <c r="O86" s="2"/>
    </row>
    <row r="87" spans="1:15" ht="200.25">
      <c r="A87" s="2" t="s">
        <v>581</v>
      </c>
      <c r="B87" s="2" t="s">
        <v>582</v>
      </c>
      <c r="C87" s="2" t="s">
        <v>233</v>
      </c>
      <c r="D87" s="2" t="s">
        <v>168</v>
      </c>
      <c r="E87" s="2" t="s">
        <v>583</v>
      </c>
      <c r="F87" s="2" t="s">
        <v>584</v>
      </c>
      <c r="G87" s="2" t="s">
        <v>585</v>
      </c>
      <c r="H87" s="2" t="s">
        <v>248</v>
      </c>
      <c r="I87" s="2" t="s">
        <v>42</v>
      </c>
      <c r="J87" s="2" t="s">
        <v>35</v>
      </c>
      <c r="K87" s="2" t="s">
        <v>36</v>
      </c>
      <c r="L87" s="2" t="s">
        <v>45</v>
      </c>
      <c r="M87" s="2" t="s">
        <v>45</v>
      </c>
      <c r="N87" s="2" t="s">
        <v>132</v>
      </c>
      <c r="O87" s="2"/>
    </row>
    <row r="88" spans="1:15" ht="200.25">
      <c r="A88" s="2" t="s">
        <v>586</v>
      </c>
      <c r="B88" s="2" t="s">
        <v>587</v>
      </c>
      <c r="C88" s="2" t="s">
        <v>152</v>
      </c>
      <c r="D88" s="2" t="s">
        <v>110</v>
      </c>
      <c r="E88" s="2" t="s">
        <v>588</v>
      </c>
      <c r="F88" s="2" t="s">
        <v>589</v>
      </c>
      <c r="G88" s="2" t="s">
        <v>590</v>
      </c>
      <c r="H88" s="2" t="s">
        <v>264</v>
      </c>
      <c r="I88" s="2" t="s">
        <v>34</v>
      </c>
      <c r="J88" s="2"/>
      <c r="K88" s="2" t="s">
        <v>36</v>
      </c>
      <c r="L88" s="2" t="s">
        <v>45</v>
      </c>
      <c r="M88" s="2" t="s">
        <v>45</v>
      </c>
      <c r="N88" s="2" t="s">
        <v>132</v>
      </c>
      <c r="O88" s="2"/>
    </row>
    <row r="89" spans="1:15" ht="216.75">
      <c r="A89" s="2" t="s">
        <v>591</v>
      </c>
      <c r="B89" s="2" t="s">
        <v>592</v>
      </c>
      <c r="C89" s="2" t="s">
        <v>167</v>
      </c>
      <c r="D89" s="2" t="s">
        <v>191</v>
      </c>
      <c r="E89" s="2" t="s">
        <v>593</v>
      </c>
      <c r="F89" s="2" t="s">
        <v>594</v>
      </c>
      <c r="G89" s="2" t="s">
        <v>595</v>
      </c>
      <c r="H89" s="2" t="s">
        <v>264</v>
      </c>
      <c r="I89" s="2" t="s">
        <v>34</v>
      </c>
      <c r="J89" s="2"/>
      <c r="K89" s="2" t="s">
        <v>36</v>
      </c>
      <c r="L89" s="2" t="s">
        <v>45</v>
      </c>
      <c r="M89" s="2" t="s">
        <v>45</v>
      </c>
      <c r="N89" s="2" t="s">
        <v>132</v>
      </c>
      <c r="O89" s="2"/>
    </row>
    <row r="90" spans="1:15" ht="200.25">
      <c r="A90" s="2" t="s">
        <v>596</v>
      </c>
      <c r="B90" s="2" t="s">
        <v>597</v>
      </c>
      <c r="C90" s="2" t="s">
        <v>141</v>
      </c>
      <c r="D90" s="2" t="s">
        <v>267</v>
      </c>
      <c r="E90" s="2" t="s">
        <v>598</v>
      </c>
      <c r="F90" s="2" t="s">
        <v>599</v>
      </c>
      <c r="G90" s="2" t="s">
        <v>600</v>
      </c>
      <c r="H90" s="2" t="s">
        <v>264</v>
      </c>
      <c r="I90" s="2" t="s">
        <v>34</v>
      </c>
      <c r="J90" s="2"/>
      <c r="K90" s="2" t="s">
        <v>36</v>
      </c>
      <c r="L90" s="2" t="s">
        <v>45</v>
      </c>
      <c r="M90" s="2" t="s">
        <v>45</v>
      </c>
      <c r="N90" s="2" t="s">
        <v>132</v>
      </c>
      <c r="O90" s="2"/>
    </row>
    <row r="91" spans="1:15" ht="200.25">
      <c r="A91" s="2" t="s">
        <v>601</v>
      </c>
      <c r="B91" s="2" t="s">
        <v>602</v>
      </c>
      <c r="C91" s="2" t="s">
        <v>202</v>
      </c>
      <c r="D91" s="2" t="s">
        <v>104</v>
      </c>
      <c r="E91" s="2" t="s">
        <v>603</v>
      </c>
      <c r="F91" s="2" t="s">
        <v>604</v>
      </c>
      <c r="G91" s="2" t="s">
        <v>605</v>
      </c>
      <c r="H91" s="2" t="s">
        <v>248</v>
      </c>
      <c r="I91" s="2" t="s">
        <v>42</v>
      </c>
      <c r="J91" s="2" t="s">
        <v>35</v>
      </c>
      <c r="K91" s="2" t="s">
        <v>36</v>
      </c>
      <c r="L91" s="2" t="s">
        <v>45</v>
      </c>
      <c r="M91" s="2" t="s">
        <v>45</v>
      </c>
      <c r="N91" s="2" t="s">
        <v>132</v>
      </c>
      <c r="O91" s="2"/>
    </row>
    <row r="92" spans="1:15" ht="200.25">
      <c r="A92" s="2" t="s">
        <v>606</v>
      </c>
      <c r="B92" s="2" t="s">
        <v>607</v>
      </c>
      <c r="C92" s="2" t="s">
        <v>233</v>
      </c>
      <c r="D92" s="2" t="s">
        <v>168</v>
      </c>
      <c r="E92" s="2" t="s">
        <v>608</v>
      </c>
      <c r="F92" s="2" t="s">
        <v>609</v>
      </c>
      <c r="G92" s="2" t="s">
        <v>610</v>
      </c>
      <c r="H92" s="2" t="s">
        <v>242</v>
      </c>
      <c r="I92" s="2" t="s">
        <v>42</v>
      </c>
      <c r="J92" s="2" t="s">
        <v>35</v>
      </c>
      <c r="K92" s="2" t="s">
        <v>36</v>
      </c>
      <c r="L92" s="2" t="s">
        <v>45</v>
      </c>
      <c r="M92" s="2" t="s">
        <v>45</v>
      </c>
      <c r="N92" s="2" t="s">
        <v>132</v>
      </c>
      <c r="O92" s="2"/>
    </row>
    <row r="93" spans="1:15" ht="200.25">
      <c r="A93" s="2" t="s">
        <v>611</v>
      </c>
      <c r="B93" s="2" t="s">
        <v>612</v>
      </c>
      <c r="C93" s="2" t="s">
        <v>202</v>
      </c>
      <c r="D93" s="2" t="s">
        <v>168</v>
      </c>
      <c r="E93" s="2" t="s">
        <v>613</v>
      </c>
      <c r="F93" s="2" t="s">
        <v>614</v>
      </c>
      <c r="G93" s="2" t="s">
        <v>615</v>
      </c>
      <c r="H93" s="2" t="s">
        <v>264</v>
      </c>
      <c r="I93" s="2" t="s">
        <v>34</v>
      </c>
      <c r="J93" s="2"/>
      <c r="K93" s="2" t="s">
        <v>36</v>
      </c>
      <c r="L93" s="2" t="s">
        <v>45</v>
      </c>
      <c r="M93" s="2" t="s">
        <v>45</v>
      </c>
      <c r="N93" s="2" t="s">
        <v>132</v>
      </c>
      <c r="O93" s="2"/>
    </row>
    <row r="94" spans="1:15" ht="216.75">
      <c r="A94" s="2" t="s">
        <v>616</v>
      </c>
      <c r="B94" s="2" t="s">
        <v>617</v>
      </c>
      <c r="C94" s="2" t="s">
        <v>167</v>
      </c>
      <c r="D94" s="2" t="s">
        <v>168</v>
      </c>
      <c r="E94" s="2" t="s">
        <v>618</v>
      </c>
      <c r="F94" s="2" t="s">
        <v>619</v>
      </c>
      <c r="G94" s="2" t="s">
        <v>620</v>
      </c>
      <c r="H94" s="2" t="s">
        <v>621</v>
      </c>
      <c r="I94" s="2" t="s">
        <v>42</v>
      </c>
      <c r="J94" s="2" t="s">
        <v>35</v>
      </c>
      <c r="K94" s="2" t="s">
        <v>36</v>
      </c>
      <c r="L94" s="2" t="s">
        <v>45</v>
      </c>
      <c r="M94" s="2" t="s">
        <v>45</v>
      </c>
      <c r="N94" s="2" t="s">
        <v>132</v>
      </c>
      <c r="O94" s="2"/>
    </row>
    <row r="95" spans="1:15" ht="200.25">
      <c r="A95" s="2" t="s">
        <v>622</v>
      </c>
      <c r="B95" s="2" t="s">
        <v>623</v>
      </c>
      <c r="C95" s="2" t="s">
        <v>190</v>
      </c>
      <c r="D95" s="2" t="s">
        <v>110</v>
      </c>
      <c r="E95" s="2" t="s">
        <v>624</v>
      </c>
      <c r="F95" s="2" t="s">
        <v>625</v>
      </c>
      <c r="G95" s="2" t="s">
        <v>626</v>
      </c>
      <c r="H95" s="2" t="s">
        <v>248</v>
      </c>
      <c r="I95" s="2" t="s">
        <v>42</v>
      </c>
      <c r="J95" s="2" t="s">
        <v>68</v>
      </c>
      <c r="K95" s="2" t="s">
        <v>36</v>
      </c>
      <c r="L95" s="2" t="s">
        <v>45</v>
      </c>
      <c r="M95" s="2" t="s">
        <v>45</v>
      </c>
      <c r="N95" s="2" t="s">
        <v>132</v>
      </c>
      <c r="O95" s="2"/>
    </row>
    <row r="96" spans="1:15" ht="100.5">
      <c r="A96" s="2" t="s">
        <v>627</v>
      </c>
      <c r="B96" s="2" t="s">
        <v>628</v>
      </c>
      <c r="C96" s="2" t="s">
        <v>202</v>
      </c>
      <c r="D96" s="2" t="s">
        <v>168</v>
      </c>
      <c r="E96" s="2" t="s">
        <v>629</v>
      </c>
      <c r="F96" s="2" t="s">
        <v>630</v>
      </c>
      <c r="G96" s="2" t="s">
        <v>631</v>
      </c>
      <c r="H96" s="2" t="s">
        <v>248</v>
      </c>
      <c r="I96" s="2" t="s">
        <v>42</v>
      </c>
      <c r="J96" s="2" t="s">
        <v>73</v>
      </c>
      <c r="K96" s="2" t="s">
        <v>36</v>
      </c>
      <c r="L96" s="2" t="s">
        <v>45</v>
      </c>
      <c r="M96" s="2" t="s">
        <v>45</v>
      </c>
      <c r="N96" s="2" t="s">
        <v>132</v>
      </c>
      <c r="O96" s="2"/>
    </row>
    <row r="97" spans="1:15" ht="200.25">
      <c r="A97" s="2" t="s">
        <v>632</v>
      </c>
      <c r="B97" s="2" t="s">
        <v>633</v>
      </c>
      <c r="C97" s="2" t="s">
        <v>233</v>
      </c>
      <c r="D97" s="2" t="s">
        <v>104</v>
      </c>
      <c r="E97" s="2" t="s">
        <v>634</v>
      </c>
      <c r="F97" s="2" t="s">
        <v>635</v>
      </c>
      <c r="G97" s="2" t="s">
        <v>636</v>
      </c>
      <c r="H97" s="2" t="s">
        <v>637</v>
      </c>
      <c r="I97" s="2" t="s">
        <v>42</v>
      </c>
      <c r="J97" s="2" t="s">
        <v>68</v>
      </c>
      <c r="K97" s="2" t="s">
        <v>36</v>
      </c>
      <c r="L97" s="2" t="s">
        <v>45</v>
      </c>
      <c r="M97" s="2" t="s">
        <v>45</v>
      </c>
      <c r="N97" s="2" t="s">
        <v>132</v>
      </c>
      <c r="O97" s="2"/>
    </row>
    <row r="98" spans="1:15" ht="200.25">
      <c r="A98" s="2" t="s">
        <v>638</v>
      </c>
      <c r="B98" s="2" t="s">
        <v>639</v>
      </c>
      <c r="C98" s="2" t="s">
        <v>202</v>
      </c>
      <c r="D98" s="2" t="s">
        <v>267</v>
      </c>
      <c r="E98" s="2" t="s">
        <v>640</v>
      </c>
      <c r="F98" s="2" t="s">
        <v>641</v>
      </c>
      <c r="G98" s="2" t="s">
        <v>642</v>
      </c>
      <c r="H98" s="2" t="s">
        <v>643</v>
      </c>
      <c r="I98" s="2" t="s">
        <v>34</v>
      </c>
      <c r="J98" s="2"/>
      <c r="K98" s="2" t="s">
        <v>36</v>
      </c>
      <c r="L98" s="2" t="s">
        <v>45</v>
      </c>
      <c r="M98" s="2" t="s">
        <v>45</v>
      </c>
      <c r="N98" s="2" t="s">
        <v>132</v>
      </c>
      <c r="O98" s="2"/>
    </row>
    <row r="99" spans="1:15" ht="200.25">
      <c r="A99" s="2" t="s">
        <v>644</v>
      </c>
      <c r="B99" s="2" t="s">
        <v>645</v>
      </c>
      <c r="C99" s="2" t="s">
        <v>202</v>
      </c>
      <c r="D99" s="2" t="s">
        <v>168</v>
      </c>
      <c r="E99" s="2" t="s">
        <v>646</v>
      </c>
      <c r="F99" s="2" t="s">
        <v>647</v>
      </c>
      <c r="G99" s="2" t="s">
        <v>648</v>
      </c>
      <c r="H99" s="2" t="s">
        <v>649</v>
      </c>
      <c r="I99" s="2" t="s">
        <v>42</v>
      </c>
      <c r="J99" s="2" t="s">
        <v>35</v>
      </c>
      <c r="K99" s="2" t="s">
        <v>36</v>
      </c>
      <c r="L99" s="2" t="s">
        <v>45</v>
      </c>
      <c r="M99" s="2" t="s">
        <v>45</v>
      </c>
      <c r="N99" s="2" t="s">
        <v>132</v>
      </c>
      <c r="O99" s="2"/>
    </row>
    <row r="100" spans="1:15" ht="200.25">
      <c r="A100" s="2" t="s">
        <v>650</v>
      </c>
      <c r="B100" s="2" t="s">
        <v>651</v>
      </c>
      <c r="C100" s="2" t="s">
        <v>233</v>
      </c>
      <c r="D100" s="2" t="s">
        <v>191</v>
      </c>
      <c r="E100" s="2" t="s">
        <v>652</v>
      </c>
      <c r="F100" s="2" t="s">
        <v>653</v>
      </c>
      <c r="G100" s="2" t="s">
        <v>654</v>
      </c>
      <c r="H100" s="2" t="s">
        <v>248</v>
      </c>
      <c r="I100" s="2" t="s">
        <v>42</v>
      </c>
      <c r="J100" s="2" t="s">
        <v>35</v>
      </c>
      <c r="K100" s="2" t="s">
        <v>36</v>
      </c>
      <c r="L100" s="2" t="s">
        <v>45</v>
      </c>
      <c r="M100" s="2" t="s">
        <v>45</v>
      </c>
      <c r="N100" s="2" t="s">
        <v>132</v>
      </c>
      <c r="O100" s="2"/>
    </row>
    <row r="101" spans="1:15" ht="200.25">
      <c r="A101" s="2" t="s">
        <v>655</v>
      </c>
      <c r="B101" s="2" t="s">
        <v>656</v>
      </c>
      <c r="C101" s="2" t="s">
        <v>299</v>
      </c>
      <c r="D101" s="2" t="s">
        <v>300</v>
      </c>
      <c r="E101" s="2" t="s">
        <v>657</v>
      </c>
      <c r="F101" s="2" t="s">
        <v>658</v>
      </c>
      <c r="G101" s="2" t="s">
        <v>659</v>
      </c>
      <c r="H101" s="2" t="s">
        <v>248</v>
      </c>
      <c r="I101" s="2" t="s">
        <v>42</v>
      </c>
      <c r="J101" s="2" t="s">
        <v>43</v>
      </c>
      <c r="K101" s="2" t="s">
        <v>36</v>
      </c>
      <c r="L101" s="2" t="s">
        <v>45</v>
      </c>
      <c r="M101" s="2" t="s">
        <v>45</v>
      </c>
      <c r="N101" s="2" t="s">
        <v>132</v>
      </c>
      <c r="O101" s="2"/>
    </row>
    <row r="102" spans="1:15" ht="200.25">
      <c r="A102" s="2" t="s">
        <v>660</v>
      </c>
      <c r="B102" s="2" t="s">
        <v>661</v>
      </c>
      <c r="C102" s="2" t="s">
        <v>202</v>
      </c>
      <c r="D102" s="2" t="s">
        <v>110</v>
      </c>
      <c r="E102" s="2" t="s">
        <v>662</v>
      </c>
      <c r="F102" s="2" t="s">
        <v>663</v>
      </c>
      <c r="G102" s="2" t="s">
        <v>664</v>
      </c>
      <c r="H102" s="2" t="s">
        <v>468</v>
      </c>
      <c r="I102" s="2" t="s">
        <v>34</v>
      </c>
      <c r="J102" s="2"/>
      <c r="K102" s="2" t="s">
        <v>36</v>
      </c>
      <c r="L102" s="2" t="s">
        <v>45</v>
      </c>
      <c r="M102" s="2" t="s">
        <v>45</v>
      </c>
      <c r="N102" s="2" t="s">
        <v>132</v>
      </c>
      <c r="O102" s="2"/>
    </row>
    <row r="103" spans="1:15" ht="200.25">
      <c r="A103" s="2" t="s">
        <v>665</v>
      </c>
      <c r="B103" s="2" t="s">
        <v>666</v>
      </c>
      <c r="C103" s="2" t="s">
        <v>141</v>
      </c>
      <c r="D103" s="2" t="s">
        <v>300</v>
      </c>
      <c r="E103" s="2" t="s">
        <v>667</v>
      </c>
      <c r="F103" s="2" t="s">
        <v>668</v>
      </c>
      <c r="G103" s="2" t="s">
        <v>669</v>
      </c>
      <c r="H103" s="2" t="s">
        <v>637</v>
      </c>
      <c r="I103" s="2" t="s">
        <v>42</v>
      </c>
      <c r="J103" s="2" t="s">
        <v>68</v>
      </c>
      <c r="K103" s="2" t="s">
        <v>36</v>
      </c>
      <c r="L103" s="2" t="s">
        <v>45</v>
      </c>
      <c r="M103" s="2" t="s">
        <v>45</v>
      </c>
      <c r="N103" s="2" t="s">
        <v>132</v>
      </c>
      <c r="O103" s="2"/>
    </row>
    <row r="104" spans="1:15" ht="200.25">
      <c r="A104" s="2" t="s">
        <v>670</v>
      </c>
      <c r="B104" s="2" t="s">
        <v>671</v>
      </c>
      <c r="C104" s="2" t="s">
        <v>233</v>
      </c>
      <c r="D104" s="2" t="s">
        <v>168</v>
      </c>
      <c r="E104" s="2" t="s">
        <v>672</v>
      </c>
      <c r="F104" s="2" t="s">
        <v>673</v>
      </c>
      <c r="G104" s="2" t="s">
        <v>674</v>
      </c>
      <c r="H104" s="2" t="s">
        <v>248</v>
      </c>
      <c r="I104" s="2" t="s">
        <v>42</v>
      </c>
      <c r="J104" s="2" t="s">
        <v>35</v>
      </c>
      <c r="K104" s="2" t="s">
        <v>36</v>
      </c>
      <c r="L104" s="2" t="s">
        <v>45</v>
      </c>
      <c r="M104" s="2" t="s">
        <v>45</v>
      </c>
      <c r="N104" s="2" t="s">
        <v>132</v>
      </c>
      <c r="O104" s="2"/>
    </row>
    <row r="105" spans="1:15" ht="200.25">
      <c r="A105" s="2" t="s">
        <v>675</v>
      </c>
      <c r="B105" s="2" t="s">
        <v>676</v>
      </c>
      <c r="C105" s="2" t="s">
        <v>202</v>
      </c>
      <c r="D105" s="2" t="s">
        <v>168</v>
      </c>
      <c r="E105" s="2" t="s">
        <v>677</v>
      </c>
      <c r="F105" s="2" t="s">
        <v>678</v>
      </c>
      <c r="G105" s="2" t="s">
        <v>679</v>
      </c>
      <c r="H105" s="2" t="s">
        <v>680</v>
      </c>
      <c r="I105" s="2" t="s">
        <v>42</v>
      </c>
      <c r="J105" s="2" t="s">
        <v>43</v>
      </c>
      <c r="K105" s="2" t="s">
        <v>36</v>
      </c>
      <c r="L105" s="2" t="s">
        <v>45</v>
      </c>
      <c r="M105" s="2" t="s">
        <v>45</v>
      </c>
      <c r="N105" s="2" t="s">
        <v>132</v>
      </c>
      <c r="O105" s="2"/>
    </row>
    <row r="106" spans="1:15" ht="200.25">
      <c r="A106" s="2" t="s">
        <v>681</v>
      </c>
      <c r="B106" s="2" t="s">
        <v>682</v>
      </c>
      <c r="C106" s="2" t="s">
        <v>202</v>
      </c>
      <c r="D106" s="2" t="s">
        <v>168</v>
      </c>
      <c r="E106" s="2" t="s">
        <v>683</v>
      </c>
      <c r="F106" s="2" t="s">
        <v>684</v>
      </c>
      <c r="G106" s="2" t="s">
        <v>685</v>
      </c>
      <c r="H106" s="2" t="s">
        <v>248</v>
      </c>
      <c r="I106" s="2" t="s">
        <v>42</v>
      </c>
      <c r="J106" s="2" t="s">
        <v>43</v>
      </c>
      <c r="K106" s="2" t="s">
        <v>36</v>
      </c>
      <c r="L106" s="2" t="s">
        <v>45</v>
      </c>
      <c r="M106" s="2" t="s">
        <v>45</v>
      </c>
      <c r="N106" s="2" t="s">
        <v>132</v>
      </c>
      <c r="O106" s="2"/>
    </row>
    <row r="107" spans="1:15" ht="200.25">
      <c r="A107" s="2" t="s">
        <v>686</v>
      </c>
      <c r="B107" s="2" t="s">
        <v>687</v>
      </c>
      <c r="C107" s="2" t="s">
        <v>202</v>
      </c>
      <c r="D107" s="2" t="s">
        <v>267</v>
      </c>
      <c r="E107" s="2" t="s">
        <v>688</v>
      </c>
      <c r="F107" s="2" t="s">
        <v>689</v>
      </c>
      <c r="G107" s="2" t="s">
        <v>690</v>
      </c>
      <c r="H107" s="2" t="s">
        <v>691</v>
      </c>
      <c r="I107" s="2" t="s">
        <v>42</v>
      </c>
      <c r="J107" s="2" t="s">
        <v>35</v>
      </c>
      <c r="K107" s="2" t="s">
        <v>36</v>
      </c>
      <c r="L107" s="2" t="s">
        <v>45</v>
      </c>
      <c r="M107" s="2" t="s">
        <v>45</v>
      </c>
      <c r="N107" s="2" t="s">
        <v>132</v>
      </c>
      <c r="O107" s="2" t="s">
        <v>692</v>
      </c>
    </row>
    <row r="108" spans="1:15" ht="216.75">
      <c r="A108" s="2" t="s">
        <v>693</v>
      </c>
      <c r="B108" s="2" t="s">
        <v>694</v>
      </c>
      <c r="C108" s="2" t="s">
        <v>141</v>
      </c>
      <c r="D108" s="2" t="s">
        <v>300</v>
      </c>
      <c r="E108" s="2" t="s">
        <v>695</v>
      </c>
      <c r="F108" s="2" t="s">
        <v>696</v>
      </c>
      <c r="G108" s="2" t="s">
        <v>697</v>
      </c>
      <c r="H108" s="2" t="s">
        <v>698</v>
      </c>
      <c r="I108" s="2" t="s">
        <v>42</v>
      </c>
      <c r="J108" s="2" t="s">
        <v>43</v>
      </c>
      <c r="K108" s="2" t="s">
        <v>36</v>
      </c>
      <c r="L108" s="2" t="s">
        <v>45</v>
      </c>
      <c r="M108" s="2" t="s">
        <v>45</v>
      </c>
      <c r="N108" s="2" t="s">
        <v>132</v>
      </c>
      <c r="O108" s="2"/>
    </row>
    <row r="109" spans="1:15" ht="200.25">
      <c r="A109" s="2" t="s">
        <v>699</v>
      </c>
      <c r="B109" s="2" t="s">
        <v>700</v>
      </c>
      <c r="C109" s="2" t="s">
        <v>190</v>
      </c>
      <c r="D109" s="2" t="s">
        <v>168</v>
      </c>
      <c r="E109" s="2" t="s">
        <v>701</v>
      </c>
      <c r="F109" s="2" t="s">
        <v>702</v>
      </c>
      <c r="G109" s="2" t="s">
        <v>703</v>
      </c>
      <c r="H109" s="2" t="s">
        <v>637</v>
      </c>
      <c r="I109" s="2" t="s">
        <v>42</v>
      </c>
      <c r="J109" s="2" t="s">
        <v>43</v>
      </c>
      <c r="K109" s="2" t="s">
        <v>36</v>
      </c>
      <c r="L109" s="2" t="s">
        <v>45</v>
      </c>
      <c r="M109" s="2" t="s">
        <v>45</v>
      </c>
      <c r="N109" s="2" t="s">
        <v>132</v>
      </c>
      <c r="O109" s="2"/>
    </row>
    <row r="110" spans="1:15" ht="183.75">
      <c r="A110" s="2" t="s">
        <v>704</v>
      </c>
      <c r="B110" s="2" t="s">
        <v>705</v>
      </c>
      <c r="C110" s="2" t="s">
        <v>190</v>
      </c>
      <c r="D110" s="2" t="s">
        <v>168</v>
      </c>
      <c r="E110" s="2" t="s">
        <v>706</v>
      </c>
      <c r="F110" s="2" t="s">
        <v>707</v>
      </c>
      <c r="G110" s="2" t="s">
        <v>708</v>
      </c>
      <c r="H110" s="2" t="s">
        <v>709</v>
      </c>
      <c r="I110" s="2" t="s">
        <v>42</v>
      </c>
      <c r="J110" s="2" t="s">
        <v>35</v>
      </c>
      <c r="K110" s="2" t="s">
        <v>36</v>
      </c>
      <c r="L110" s="2" t="s">
        <v>45</v>
      </c>
      <c r="M110" s="2" t="s">
        <v>45</v>
      </c>
      <c r="N110" s="2" t="s">
        <v>132</v>
      </c>
      <c r="O110" s="2"/>
    </row>
    <row r="111" spans="1:15" ht="200.25">
      <c r="A111" s="2" t="s">
        <v>710</v>
      </c>
      <c r="B111" s="2" t="s">
        <v>711</v>
      </c>
      <c r="C111" s="2" t="s">
        <v>152</v>
      </c>
      <c r="D111" s="2" t="s">
        <v>168</v>
      </c>
      <c r="E111" s="2" t="s">
        <v>712</v>
      </c>
      <c r="F111" s="2" t="s">
        <v>713</v>
      </c>
      <c r="G111" s="2" t="s">
        <v>714</v>
      </c>
      <c r="H111" s="2" t="s">
        <v>248</v>
      </c>
      <c r="I111" s="2" t="s">
        <v>42</v>
      </c>
      <c r="J111" s="2" t="s">
        <v>43</v>
      </c>
      <c r="K111" s="2" t="s">
        <v>36</v>
      </c>
      <c r="L111" s="2" t="s">
        <v>45</v>
      </c>
      <c r="M111" s="2" t="s">
        <v>45</v>
      </c>
      <c r="N111" s="2" t="s">
        <v>132</v>
      </c>
      <c r="O111" s="2"/>
    </row>
    <row r="112" spans="1:15" ht="100.5">
      <c r="A112" s="2" t="s">
        <v>715</v>
      </c>
      <c r="B112" s="2" t="s">
        <v>716</v>
      </c>
      <c r="C112" s="2" t="s">
        <v>141</v>
      </c>
      <c r="D112" s="2" t="s">
        <v>300</v>
      </c>
      <c r="E112" s="2" t="s">
        <v>717</v>
      </c>
      <c r="F112" s="2" t="s">
        <v>718</v>
      </c>
      <c r="G112" s="2" t="s">
        <v>719</v>
      </c>
      <c r="H112" s="2" t="s">
        <v>372</v>
      </c>
      <c r="I112" s="2" t="s">
        <v>42</v>
      </c>
      <c r="J112" s="2" t="s">
        <v>68</v>
      </c>
      <c r="K112" s="2" t="s">
        <v>36</v>
      </c>
      <c r="L112" s="2" t="s">
        <v>45</v>
      </c>
      <c r="M112" s="2" t="s">
        <v>45</v>
      </c>
      <c r="N112" s="2" t="s">
        <v>132</v>
      </c>
      <c r="O112" s="2"/>
    </row>
    <row r="113" spans="1:15" ht="216.75">
      <c r="A113" s="2" t="s">
        <v>720</v>
      </c>
      <c r="B113" s="2" t="s">
        <v>721</v>
      </c>
      <c r="C113" s="2" t="s">
        <v>128</v>
      </c>
      <c r="D113" s="2" t="s">
        <v>300</v>
      </c>
      <c r="E113" s="2" t="s">
        <v>722</v>
      </c>
      <c r="F113" s="2" t="s">
        <v>723</v>
      </c>
      <c r="G113" s="2" t="s">
        <v>724</v>
      </c>
      <c r="H113" s="2" t="s">
        <v>248</v>
      </c>
      <c r="I113" s="2" t="s">
        <v>42</v>
      </c>
      <c r="J113" s="2" t="s">
        <v>68</v>
      </c>
      <c r="K113" s="2" t="s">
        <v>36</v>
      </c>
      <c r="L113" s="2" t="s">
        <v>45</v>
      </c>
      <c r="M113" s="2" t="s">
        <v>45</v>
      </c>
      <c r="N113" s="2" t="s">
        <v>132</v>
      </c>
      <c r="O113" s="2"/>
    </row>
    <row r="114" spans="1:15" ht="216.75">
      <c r="A114" s="2" t="s">
        <v>725</v>
      </c>
      <c r="B114" s="2" t="s">
        <v>726</v>
      </c>
      <c r="C114" s="2" t="s">
        <v>202</v>
      </c>
      <c r="D114" s="2" t="s">
        <v>191</v>
      </c>
      <c r="E114" s="2" t="s">
        <v>727</v>
      </c>
      <c r="F114" s="2" t="s">
        <v>728</v>
      </c>
      <c r="G114" s="2" t="s">
        <v>729</v>
      </c>
      <c r="H114" s="2" t="s">
        <v>248</v>
      </c>
      <c r="I114" s="2" t="s">
        <v>42</v>
      </c>
      <c r="J114" s="2" t="s">
        <v>43</v>
      </c>
      <c r="K114" s="2" t="s">
        <v>36</v>
      </c>
      <c r="L114" s="2" t="s">
        <v>45</v>
      </c>
      <c r="M114" s="2" t="s">
        <v>45</v>
      </c>
      <c r="N114" s="2" t="s">
        <v>132</v>
      </c>
      <c r="O114" s="2"/>
    </row>
    <row r="115" spans="1:15" ht="200.25">
      <c r="A115" s="2" t="s">
        <v>730</v>
      </c>
      <c r="B115" s="2" t="s">
        <v>731</v>
      </c>
      <c r="C115" s="2" t="s">
        <v>202</v>
      </c>
      <c r="D115" s="2" t="s">
        <v>267</v>
      </c>
      <c r="E115" s="2" t="s">
        <v>732</v>
      </c>
      <c r="F115" s="2" t="s">
        <v>733</v>
      </c>
      <c r="G115" s="2" t="s">
        <v>734</v>
      </c>
      <c r="H115" s="2" t="s">
        <v>264</v>
      </c>
      <c r="I115" s="2" t="s">
        <v>34</v>
      </c>
      <c r="J115" s="2"/>
      <c r="K115" s="2" t="s">
        <v>36</v>
      </c>
      <c r="L115" s="2" t="s">
        <v>45</v>
      </c>
      <c r="M115" s="2" t="s">
        <v>45</v>
      </c>
      <c r="N115" s="2" t="s">
        <v>132</v>
      </c>
      <c r="O115" s="2"/>
    </row>
    <row r="116" spans="1:15" ht="200.25">
      <c r="A116" s="2" t="s">
        <v>735</v>
      </c>
      <c r="B116" s="2" t="s">
        <v>736</v>
      </c>
      <c r="C116" s="2" t="s">
        <v>202</v>
      </c>
      <c r="D116" s="2" t="s">
        <v>168</v>
      </c>
      <c r="E116" s="2" t="s">
        <v>737</v>
      </c>
      <c r="F116" s="2" t="s">
        <v>738</v>
      </c>
      <c r="G116" s="2" t="s">
        <v>739</v>
      </c>
      <c r="H116" s="2" t="s">
        <v>248</v>
      </c>
      <c r="I116" s="2" t="s">
        <v>42</v>
      </c>
      <c r="J116" s="2" t="s">
        <v>35</v>
      </c>
      <c r="K116" s="2" t="s">
        <v>36</v>
      </c>
      <c r="L116" s="2" t="s">
        <v>45</v>
      </c>
      <c r="M116" s="2" t="s">
        <v>45</v>
      </c>
      <c r="N116" s="2" t="s">
        <v>132</v>
      </c>
      <c r="O116" s="2"/>
    </row>
    <row r="117" spans="1:15" ht="200.25">
      <c r="A117" s="2" t="s">
        <v>740</v>
      </c>
      <c r="B117" s="2" t="s">
        <v>741</v>
      </c>
      <c r="C117" s="2" t="s">
        <v>233</v>
      </c>
      <c r="D117" s="2" t="s">
        <v>104</v>
      </c>
      <c r="E117" s="2" t="s">
        <v>742</v>
      </c>
      <c r="F117" s="2" t="s">
        <v>743</v>
      </c>
      <c r="G117" s="2" t="s">
        <v>744</v>
      </c>
      <c r="H117" s="2" t="s">
        <v>264</v>
      </c>
      <c r="I117" s="2" t="s">
        <v>34</v>
      </c>
      <c r="J117" s="2"/>
      <c r="K117" s="2" t="s">
        <v>36</v>
      </c>
      <c r="L117" s="2" t="s">
        <v>45</v>
      </c>
      <c r="M117" s="2" t="s">
        <v>45</v>
      </c>
      <c r="N117" s="2" t="s">
        <v>132</v>
      </c>
      <c r="O117" s="2"/>
    </row>
    <row r="118" spans="1:15" ht="100.5">
      <c r="A118" s="2" t="s">
        <v>745</v>
      </c>
      <c r="B118" s="2" t="s">
        <v>746</v>
      </c>
      <c r="C118" s="2" t="s">
        <v>190</v>
      </c>
      <c r="D118" s="2" t="s">
        <v>168</v>
      </c>
      <c r="E118" s="2" t="s">
        <v>747</v>
      </c>
      <c r="F118" s="2" t="s">
        <v>748</v>
      </c>
      <c r="G118" s="2" t="s">
        <v>749</v>
      </c>
      <c r="H118" s="2" t="s">
        <v>248</v>
      </c>
      <c r="I118" s="2" t="s">
        <v>42</v>
      </c>
      <c r="J118" s="2" t="s">
        <v>35</v>
      </c>
      <c r="K118" s="2" t="s">
        <v>36</v>
      </c>
      <c r="L118" s="2" t="s">
        <v>45</v>
      </c>
      <c r="M118" s="2" t="s">
        <v>45</v>
      </c>
      <c r="N118" s="2" t="s">
        <v>132</v>
      </c>
      <c r="O118" s="2"/>
    </row>
    <row r="119" spans="1:15" ht="200.25">
      <c r="A119" s="2" t="s">
        <v>750</v>
      </c>
      <c r="B119" s="2" t="s">
        <v>751</v>
      </c>
      <c r="C119" s="2" t="s">
        <v>157</v>
      </c>
      <c r="D119" s="2" t="s">
        <v>752</v>
      </c>
      <c r="E119" s="2" t="s">
        <v>753</v>
      </c>
      <c r="F119" s="2" t="s">
        <v>754</v>
      </c>
      <c r="G119" s="2" t="s">
        <v>755</v>
      </c>
      <c r="H119" s="2" t="s">
        <v>242</v>
      </c>
      <c r="I119" s="2" t="s">
        <v>42</v>
      </c>
      <c r="J119" s="2" t="s">
        <v>35</v>
      </c>
      <c r="K119" s="2" t="s">
        <v>36</v>
      </c>
      <c r="L119" s="2" t="s">
        <v>45</v>
      </c>
      <c r="M119" s="2" t="s">
        <v>45</v>
      </c>
      <c r="N119" s="2" t="s">
        <v>132</v>
      </c>
      <c r="O119" s="2"/>
    </row>
    <row r="120" spans="1:15" ht="200.25">
      <c r="A120" s="2" t="s">
        <v>756</v>
      </c>
      <c r="B120" s="2" t="s">
        <v>757</v>
      </c>
      <c r="C120" s="2" t="s">
        <v>167</v>
      </c>
      <c r="D120" s="2" t="s">
        <v>110</v>
      </c>
      <c r="E120" s="2" t="s">
        <v>758</v>
      </c>
      <c r="F120" s="2" t="s">
        <v>759</v>
      </c>
      <c r="G120" s="2" t="s">
        <v>760</v>
      </c>
      <c r="H120" s="2" t="s">
        <v>468</v>
      </c>
      <c r="I120" s="2" t="s">
        <v>34</v>
      </c>
      <c r="J120" s="2"/>
      <c r="K120" s="2" t="s">
        <v>36</v>
      </c>
      <c r="L120" s="2" t="s">
        <v>45</v>
      </c>
      <c r="M120" s="2" t="s">
        <v>45</v>
      </c>
      <c r="N120" s="2" t="s">
        <v>132</v>
      </c>
      <c r="O120" s="2"/>
    </row>
    <row r="121" spans="1:15" ht="200.25">
      <c r="A121" s="2" t="s">
        <v>761</v>
      </c>
      <c r="B121" s="2" t="s">
        <v>762</v>
      </c>
      <c r="C121" s="2" t="s">
        <v>152</v>
      </c>
      <c r="D121" s="2" t="s">
        <v>300</v>
      </c>
      <c r="E121" s="2" t="s">
        <v>763</v>
      </c>
      <c r="F121" s="2" t="s">
        <v>764</v>
      </c>
      <c r="G121" s="2" t="s">
        <v>765</v>
      </c>
      <c r="H121" s="2" t="s">
        <v>248</v>
      </c>
      <c r="I121" s="2" t="s">
        <v>42</v>
      </c>
      <c r="J121" s="2" t="s">
        <v>35</v>
      </c>
      <c r="K121" s="2" t="s">
        <v>36</v>
      </c>
      <c r="L121" s="2" t="s">
        <v>45</v>
      </c>
      <c r="M121" s="2" t="s">
        <v>45</v>
      </c>
      <c r="N121" s="2" t="s">
        <v>132</v>
      </c>
      <c r="O121" s="2"/>
    </row>
    <row r="122" spans="1:15" ht="200.25">
      <c r="A122" s="2" t="s">
        <v>766</v>
      </c>
      <c r="B122" s="2" t="s">
        <v>767</v>
      </c>
      <c r="C122" s="2" t="s">
        <v>233</v>
      </c>
      <c r="D122" s="2" t="s">
        <v>168</v>
      </c>
      <c r="E122" s="2" t="s">
        <v>768</v>
      </c>
      <c r="F122" s="2" t="s">
        <v>769</v>
      </c>
      <c r="G122" s="2" t="s">
        <v>770</v>
      </c>
      <c r="H122" s="2" t="s">
        <v>771</v>
      </c>
      <c r="I122" s="2" t="s">
        <v>42</v>
      </c>
      <c r="J122" s="2" t="s">
        <v>35</v>
      </c>
      <c r="K122" s="2" t="s">
        <v>44</v>
      </c>
      <c r="L122" s="2" t="s">
        <v>45</v>
      </c>
      <c r="M122" s="2" t="s">
        <v>45</v>
      </c>
      <c r="N122" s="2" t="s">
        <v>132</v>
      </c>
      <c r="O122" s="2" t="s">
        <v>772</v>
      </c>
    </row>
    <row r="123" spans="1:15" ht="183.75">
      <c r="A123" s="2" t="s">
        <v>773</v>
      </c>
      <c r="B123" s="2" t="s">
        <v>774</v>
      </c>
      <c r="C123" s="2" t="s">
        <v>167</v>
      </c>
      <c r="D123" s="2" t="s">
        <v>168</v>
      </c>
      <c r="E123" s="2" t="s">
        <v>775</v>
      </c>
      <c r="F123" s="2" t="s">
        <v>776</v>
      </c>
      <c r="G123" s="2" t="s">
        <v>777</v>
      </c>
      <c r="H123" s="2" t="s">
        <v>248</v>
      </c>
      <c r="I123" s="2" t="s">
        <v>42</v>
      </c>
      <c r="J123" s="2" t="s">
        <v>35</v>
      </c>
      <c r="K123" s="2" t="s">
        <v>36</v>
      </c>
      <c r="L123" s="2" t="s">
        <v>45</v>
      </c>
      <c r="M123" s="2" t="s">
        <v>45</v>
      </c>
      <c r="N123" s="2" t="s">
        <v>132</v>
      </c>
      <c r="O123" s="2"/>
    </row>
    <row r="124" spans="1:15" ht="200.25">
      <c r="A124" s="2" t="s">
        <v>778</v>
      </c>
      <c r="B124" s="2" t="s">
        <v>779</v>
      </c>
      <c r="C124" s="2" t="s">
        <v>135</v>
      </c>
      <c r="D124" s="2" t="s">
        <v>300</v>
      </c>
      <c r="E124" s="2" t="s">
        <v>780</v>
      </c>
      <c r="F124" s="2" t="s">
        <v>781</v>
      </c>
      <c r="G124" s="2" t="s">
        <v>782</v>
      </c>
      <c r="H124" s="2" t="s">
        <v>248</v>
      </c>
      <c r="I124" s="2" t="s">
        <v>42</v>
      </c>
      <c r="J124" s="2" t="s">
        <v>68</v>
      </c>
      <c r="K124" s="2" t="s">
        <v>36</v>
      </c>
      <c r="L124" s="2" t="s">
        <v>45</v>
      </c>
      <c r="M124" s="2" t="s">
        <v>45</v>
      </c>
      <c r="N124" s="2" t="s">
        <v>132</v>
      </c>
      <c r="O124" s="2"/>
    </row>
    <row r="125" spans="1:15" ht="200.25">
      <c r="A125" s="2" t="s">
        <v>783</v>
      </c>
      <c r="B125" s="2" t="s">
        <v>784</v>
      </c>
      <c r="C125" s="2" t="s">
        <v>152</v>
      </c>
      <c r="D125" s="2" t="s">
        <v>267</v>
      </c>
      <c r="E125" s="2" t="s">
        <v>785</v>
      </c>
      <c r="F125" s="2" t="s">
        <v>786</v>
      </c>
      <c r="G125" s="2" t="s">
        <v>787</v>
      </c>
      <c r="H125" s="2" t="s">
        <v>264</v>
      </c>
      <c r="I125" s="2" t="s">
        <v>34</v>
      </c>
      <c r="J125" s="2"/>
      <c r="K125" s="2" t="s">
        <v>36</v>
      </c>
      <c r="L125" s="2" t="s">
        <v>45</v>
      </c>
      <c r="M125" s="2" t="s">
        <v>45</v>
      </c>
      <c r="N125" s="2" t="s">
        <v>132</v>
      </c>
      <c r="O125" s="2"/>
    </row>
    <row r="126" spans="1:15" ht="200.25">
      <c r="A126" s="2" t="s">
        <v>788</v>
      </c>
      <c r="B126" s="2" t="s">
        <v>789</v>
      </c>
      <c r="C126" s="2" t="s">
        <v>233</v>
      </c>
      <c r="D126" s="2" t="s">
        <v>168</v>
      </c>
      <c r="E126" s="2" t="s">
        <v>790</v>
      </c>
      <c r="F126" s="2" t="s">
        <v>791</v>
      </c>
      <c r="G126" s="2" t="s">
        <v>792</v>
      </c>
      <c r="H126" s="2" t="s">
        <v>242</v>
      </c>
      <c r="I126" s="2" t="s">
        <v>42</v>
      </c>
      <c r="J126" s="2" t="s">
        <v>35</v>
      </c>
      <c r="K126" s="2" t="s">
        <v>36</v>
      </c>
      <c r="L126" s="2" t="s">
        <v>45</v>
      </c>
      <c r="M126" s="2" t="s">
        <v>45</v>
      </c>
      <c r="N126" s="2" t="s">
        <v>132</v>
      </c>
      <c r="O126" s="2"/>
    </row>
    <row r="127" spans="1:15" ht="200.25">
      <c r="A127" s="2" t="s">
        <v>793</v>
      </c>
      <c r="B127" s="2" t="s">
        <v>794</v>
      </c>
      <c r="C127" s="2" t="s">
        <v>202</v>
      </c>
      <c r="D127" s="2" t="s">
        <v>191</v>
      </c>
      <c r="E127" s="2" t="s">
        <v>795</v>
      </c>
      <c r="F127" s="2" t="s">
        <v>796</v>
      </c>
      <c r="G127" s="2" t="s">
        <v>797</v>
      </c>
      <c r="H127" s="2" t="s">
        <v>248</v>
      </c>
      <c r="I127" s="2" t="s">
        <v>42</v>
      </c>
      <c r="J127" s="2" t="s">
        <v>43</v>
      </c>
      <c r="K127" s="2" t="s">
        <v>36</v>
      </c>
      <c r="L127" s="2" t="s">
        <v>45</v>
      </c>
      <c r="M127" s="2" t="s">
        <v>45</v>
      </c>
      <c r="N127" s="2" t="s">
        <v>132</v>
      </c>
      <c r="O127" s="2"/>
    </row>
    <row r="128" spans="1:15" ht="216.75">
      <c r="A128" s="2" t="s">
        <v>798</v>
      </c>
      <c r="B128" s="2" t="s">
        <v>799</v>
      </c>
      <c r="C128" s="2" t="s">
        <v>190</v>
      </c>
      <c r="D128" s="2" t="s">
        <v>191</v>
      </c>
      <c r="E128" s="2" t="s">
        <v>800</v>
      </c>
      <c r="F128" s="2" t="s">
        <v>801</v>
      </c>
      <c r="G128" s="2" t="s">
        <v>802</v>
      </c>
      <c r="H128" s="2" t="s">
        <v>803</v>
      </c>
      <c r="I128" s="2" t="s">
        <v>42</v>
      </c>
      <c r="J128" s="2" t="s">
        <v>43</v>
      </c>
      <c r="K128" s="2" t="s">
        <v>36</v>
      </c>
      <c r="L128" s="2" t="s">
        <v>45</v>
      </c>
      <c r="M128" s="2" t="s">
        <v>45</v>
      </c>
      <c r="N128" s="2" t="s">
        <v>132</v>
      </c>
      <c r="O128" s="2"/>
    </row>
    <row r="129" spans="1:15" ht="216.75">
      <c r="A129" s="2" t="s">
        <v>804</v>
      </c>
      <c r="B129" s="2" t="s">
        <v>805</v>
      </c>
      <c r="C129" s="2" t="s">
        <v>190</v>
      </c>
      <c r="D129" s="2" t="s">
        <v>168</v>
      </c>
      <c r="E129" s="2" t="s">
        <v>806</v>
      </c>
      <c r="F129" s="2" t="s">
        <v>807</v>
      </c>
      <c r="G129" s="2" t="s">
        <v>808</v>
      </c>
      <c r="H129" s="2" t="s">
        <v>242</v>
      </c>
      <c r="I129" s="2" t="s">
        <v>42</v>
      </c>
      <c r="J129" s="2" t="s">
        <v>35</v>
      </c>
      <c r="K129" s="2" t="s">
        <v>36</v>
      </c>
      <c r="L129" s="2" t="s">
        <v>45</v>
      </c>
      <c r="M129" s="2" t="s">
        <v>45</v>
      </c>
      <c r="N129" s="2" t="s">
        <v>132</v>
      </c>
      <c r="O129" s="2"/>
    </row>
    <row r="130" spans="1:15" ht="200.25">
      <c r="A130" s="2" t="s">
        <v>809</v>
      </c>
      <c r="B130" s="2" t="s">
        <v>810</v>
      </c>
      <c r="C130" s="2" t="s">
        <v>202</v>
      </c>
      <c r="D130" s="2" t="s">
        <v>168</v>
      </c>
      <c r="E130" s="2" t="s">
        <v>811</v>
      </c>
      <c r="F130" s="2" t="s">
        <v>812</v>
      </c>
      <c r="G130" s="2" t="s">
        <v>813</v>
      </c>
      <c r="H130" s="2" t="s">
        <v>814</v>
      </c>
      <c r="I130" s="2" t="s">
        <v>42</v>
      </c>
      <c r="J130" s="2" t="s">
        <v>35</v>
      </c>
      <c r="K130" s="2" t="s">
        <v>36</v>
      </c>
      <c r="L130" s="2" t="s">
        <v>45</v>
      </c>
      <c r="M130" s="2" t="s">
        <v>45</v>
      </c>
      <c r="N130" s="2" t="s">
        <v>132</v>
      </c>
      <c r="O130" s="2"/>
    </row>
    <row r="131" spans="1:15" ht="200.25">
      <c r="A131" s="2" t="s">
        <v>815</v>
      </c>
      <c r="B131" s="2" t="s">
        <v>816</v>
      </c>
      <c r="C131" s="2" t="s">
        <v>233</v>
      </c>
      <c r="D131" s="2" t="s">
        <v>168</v>
      </c>
      <c r="E131" s="2" t="s">
        <v>817</v>
      </c>
      <c r="F131" s="2" t="s">
        <v>818</v>
      </c>
      <c r="G131" s="2" t="s">
        <v>819</v>
      </c>
      <c r="H131" s="2" t="s">
        <v>372</v>
      </c>
      <c r="I131" s="2" t="s">
        <v>42</v>
      </c>
      <c r="J131" s="2" t="s">
        <v>35</v>
      </c>
      <c r="K131" s="2" t="s">
        <v>36</v>
      </c>
      <c r="L131" s="2" t="s">
        <v>45</v>
      </c>
      <c r="M131" s="2" t="s">
        <v>45</v>
      </c>
      <c r="N131" s="2" t="s">
        <v>132</v>
      </c>
      <c r="O131" s="2"/>
    </row>
    <row r="132" spans="1:15" ht="150.75">
      <c r="A132" s="2" t="s">
        <v>820</v>
      </c>
      <c r="B132" s="2" t="s">
        <v>821</v>
      </c>
      <c r="C132" s="2" t="s">
        <v>190</v>
      </c>
      <c r="D132" s="2" t="s">
        <v>104</v>
      </c>
      <c r="E132" s="2" t="s">
        <v>822</v>
      </c>
      <c r="F132" s="2" t="s">
        <v>823</v>
      </c>
      <c r="G132" s="2" t="s">
        <v>824</v>
      </c>
      <c r="H132" s="2" t="s">
        <v>131</v>
      </c>
      <c r="I132" s="2" t="s">
        <v>42</v>
      </c>
      <c r="J132" s="2" t="s">
        <v>73</v>
      </c>
      <c r="K132" s="2" t="s">
        <v>36</v>
      </c>
      <c r="L132" s="2" t="s">
        <v>45</v>
      </c>
      <c r="M132" s="2" t="s">
        <v>45</v>
      </c>
      <c r="N132" s="2" t="s">
        <v>132</v>
      </c>
      <c r="O132" s="2"/>
    </row>
    <row r="133" spans="1:15" ht="200.25">
      <c r="A133" s="2" t="s">
        <v>825</v>
      </c>
      <c r="B133" s="2" t="s">
        <v>826</v>
      </c>
      <c r="C133" s="2" t="s">
        <v>233</v>
      </c>
      <c r="D133" s="2" t="s">
        <v>300</v>
      </c>
      <c r="E133" s="2" t="s">
        <v>827</v>
      </c>
      <c r="F133" s="2" t="s">
        <v>828</v>
      </c>
      <c r="G133" s="2" t="s">
        <v>829</v>
      </c>
      <c r="H133" s="2" t="s">
        <v>264</v>
      </c>
      <c r="I133" s="2" t="s">
        <v>34</v>
      </c>
      <c r="J133" s="2"/>
      <c r="K133" s="2" t="s">
        <v>36</v>
      </c>
      <c r="L133" s="2" t="s">
        <v>45</v>
      </c>
      <c r="M133" s="2" t="s">
        <v>45</v>
      </c>
      <c r="N133" s="2" t="s">
        <v>132</v>
      </c>
      <c r="O133" s="2"/>
    </row>
    <row r="134" spans="1:15" ht="200.25">
      <c r="A134" s="2" t="s">
        <v>830</v>
      </c>
      <c r="B134" s="2" t="s">
        <v>831</v>
      </c>
      <c r="C134" s="2" t="s">
        <v>202</v>
      </c>
      <c r="D134" s="2" t="s">
        <v>110</v>
      </c>
      <c r="E134" s="2" t="s">
        <v>832</v>
      </c>
      <c r="F134" s="2" t="s">
        <v>833</v>
      </c>
      <c r="G134" s="2" t="s">
        <v>834</v>
      </c>
      <c r="H134" s="2" t="s">
        <v>264</v>
      </c>
      <c r="I134" s="2" t="s">
        <v>34</v>
      </c>
      <c r="J134" s="2"/>
      <c r="K134" s="2" t="s">
        <v>36</v>
      </c>
      <c r="L134" s="2" t="s">
        <v>45</v>
      </c>
      <c r="M134" s="2" t="s">
        <v>45</v>
      </c>
      <c r="N134" s="2" t="s">
        <v>132</v>
      </c>
      <c r="O134" s="2"/>
    </row>
    <row r="135" spans="1:15" ht="200.25">
      <c r="A135" s="2" t="s">
        <v>835</v>
      </c>
      <c r="B135" s="2" t="s">
        <v>836</v>
      </c>
      <c r="C135" s="2" t="s">
        <v>157</v>
      </c>
      <c r="D135" s="2" t="s">
        <v>168</v>
      </c>
      <c r="E135" s="2" t="s">
        <v>837</v>
      </c>
      <c r="F135" s="2" t="s">
        <v>838</v>
      </c>
      <c r="G135" s="2" t="s">
        <v>839</v>
      </c>
      <c r="H135" s="2" t="s">
        <v>426</v>
      </c>
      <c r="I135" s="2" t="s">
        <v>42</v>
      </c>
      <c r="J135" s="2" t="s">
        <v>35</v>
      </c>
      <c r="K135" s="2" t="s">
        <v>36</v>
      </c>
      <c r="L135" s="2" t="s">
        <v>45</v>
      </c>
      <c r="M135" s="2" t="s">
        <v>45</v>
      </c>
      <c r="N135" s="2" t="s">
        <v>132</v>
      </c>
      <c r="O135" s="2"/>
    </row>
    <row r="136" spans="1:15" ht="200.25">
      <c r="A136" s="2" t="s">
        <v>840</v>
      </c>
      <c r="B136" s="2" t="s">
        <v>841</v>
      </c>
      <c r="C136" s="2" t="s">
        <v>202</v>
      </c>
      <c r="D136" s="2" t="s">
        <v>300</v>
      </c>
      <c r="E136" s="2" t="s">
        <v>842</v>
      </c>
      <c r="F136" s="2" t="s">
        <v>843</v>
      </c>
      <c r="G136" s="2" t="s">
        <v>844</v>
      </c>
      <c r="H136" s="2" t="s">
        <v>264</v>
      </c>
      <c r="I136" s="2" t="s">
        <v>34</v>
      </c>
      <c r="J136" s="2"/>
      <c r="K136" s="2" t="s">
        <v>36</v>
      </c>
      <c r="L136" s="2" t="s">
        <v>45</v>
      </c>
      <c r="M136" s="2" t="s">
        <v>45</v>
      </c>
      <c r="N136" s="2" t="s">
        <v>132</v>
      </c>
      <c r="O136" s="2"/>
    </row>
    <row r="137" spans="1:15" ht="200.25">
      <c r="A137" s="2" t="s">
        <v>845</v>
      </c>
      <c r="B137" s="2" t="s">
        <v>846</v>
      </c>
      <c r="C137" s="2" t="s">
        <v>202</v>
      </c>
      <c r="D137" s="2" t="s">
        <v>168</v>
      </c>
      <c r="E137" s="2" t="s">
        <v>847</v>
      </c>
      <c r="F137" s="2" t="s">
        <v>848</v>
      </c>
      <c r="G137" s="2" t="s">
        <v>849</v>
      </c>
      <c r="H137" s="2" t="s">
        <v>248</v>
      </c>
      <c r="I137" s="2" t="s">
        <v>42</v>
      </c>
      <c r="J137" s="2" t="s">
        <v>35</v>
      </c>
      <c r="K137" s="2" t="s">
        <v>36</v>
      </c>
      <c r="L137" s="2" t="s">
        <v>45</v>
      </c>
      <c r="M137" s="2" t="s">
        <v>45</v>
      </c>
      <c r="N137" s="2" t="s">
        <v>132</v>
      </c>
      <c r="O137" s="2"/>
    </row>
    <row r="138" spans="1:15" ht="200.25">
      <c r="A138" s="2" t="s">
        <v>850</v>
      </c>
      <c r="B138" s="2" t="s">
        <v>851</v>
      </c>
      <c r="C138" s="2" t="s">
        <v>190</v>
      </c>
      <c r="D138" s="2" t="s">
        <v>110</v>
      </c>
      <c r="E138" s="2" t="s">
        <v>852</v>
      </c>
      <c r="F138" s="2" t="s">
        <v>853</v>
      </c>
      <c r="G138" s="2" t="s">
        <v>854</v>
      </c>
      <c r="H138" s="2" t="s">
        <v>468</v>
      </c>
      <c r="I138" s="2" t="s">
        <v>42</v>
      </c>
      <c r="J138" s="2" t="s">
        <v>35</v>
      </c>
      <c r="K138" s="2" t="s">
        <v>36</v>
      </c>
      <c r="L138" s="2" t="s">
        <v>45</v>
      </c>
      <c r="M138" s="2" t="s">
        <v>45</v>
      </c>
      <c r="N138" s="2" t="s">
        <v>132</v>
      </c>
      <c r="O138" s="2" t="s">
        <v>855</v>
      </c>
    </row>
    <row r="139" spans="1:15" ht="200.25">
      <c r="A139" s="2" t="s">
        <v>856</v>
      </c>
      <c r="B139" s="2" t="s">
        <v>857</v>
      </c>
      <c r="C139" s="2" t="s">
        <v>202</v>
      </c>
      <c r="D139" s="2" t="s">
        <v>110</v>
      </c>
      <c r="E139" s="2" t="s">
        <v>858</v>
      </c>
      <c r="F139" s="2" t="s">
        <v>859</v>
      </c>
      <c r="G139" s="2" t="s">
        <v>860</v>
      </c>
      <c r="H139" s="2" t="s">
        <v>242</v>
      </c>
      <c r="I139" s="2" t="s">
        <v>42</v>
      </c>
      <c r="J139" s="2" t="s">
        <v>35</v>
      </c>
      <c r="K139" s="2" t="s">
        <v>36</v>
      </c>
      <c r="L139" s="2" t="s">
        <v>45</v>
      </c>
      <c r="M139" s="2" t="s">
        <v>45</v>
      </c>
      <c r="N139" s="2" t="s">
        <v>132</v>
      </c>
      <c r="O139" s="2"/>
    </row>
    <row r="140" spans="1:15" ht="216.75">
      <c r="A140" s="2" t="s">
        <v>861</v>
      </c>
      <c r="B140" s="2" t="s">
        <v>862</v>
      </c>
      <c r="C140" s="2" t="s">
        <v>157</v>
      </c>
      <c r="D140" s="2" t="s">
        <v>267</v>
      </c>
      <c r="E140" s="2" t="s">
        <v>863</v>
      </c>
      <c r="F140" s="2" t="s">
        <v>864</v>
      </c>
      <c r="G140" s="2" t="s">
        <v>865</v>
      </c>
      <c r="H140" s="2" t="s">
        <v>405</v>
      </c>
      <c r="I140" s="2" t="s">
        <v>34</v>
      </c>
      <c r="J140" s="2"/>
      <c r="K140" s="2" t="s">
        <v>36</v>
      </c>
      <c r="L140" s="2" t="s">
        <v>45</v>
      </c>
      <c r="M140" s="2" t="s">
        <v>45</v>
      </c>
      <c r="N140" s="2" t="s">
        <v>132</v>
      </c>
      <c r="O140" s="2"/>
    </row>
    <row r="141" spans="1:15" ht="200.25">
      <c r="A141" s="2" t="s">
        <v>866</v>
      </c>
      <c r="B141" s="2" t="s">
        <v>867</v>
      </c>
      <c r="C141" s="2" t="s">
        <v>141</v>
      </c>
      <c r="D141" s="2" t="s">
        <v>300</v>
      </c>
      <c r="E141" s="2" t="s">
        <v>868</v>
      </c>
      <c r="F141" s="2" t="s">
        <v>869</v>
      </c>
      <c r="G141" s="2" t="s">
        <v>870</v>
      </c>
      <c r="H141" s="2" t="s">
        <v>637</v>
      </c>
      <c r="I141" s="2" t="s">
        <v>42</v>
      </c>
      <c r="J141" s="2" t="s">
        <v>43</v>
      </c>
      <c r="K141" s="2" t="s">
        <v>36</v>
      </c>
      <c r="L141" s="2" t="s">
        <v>45</v>
      </c>
      <c r="M141" s="2" t="s">
        <v>45</v>
      </c>
      <c r="N141" s="2" t="s">
        <v>132</v>
      </c>
      <c r="O141" s="2"/>
    </row>
    <row r="142" spans="1:15" ht="200.25">
      <c r="A142" s="2" t="s">
        <v>871</v>
      </c>
      <c r="B142" s="2" t="s">
        <v>872</v>
      </c>
      <c r="C142" s="2" t="s">
        <v>233</v>
      </c>
      <c r="D142" s="2" t="s">
        <v>110</v>
      </c>
      <c r="E142" s="2" t="s">
        <v>873</v>
      </c>
      <c r="F142" s="2" t="s">
        <v>874</v>
      </c>
      <c r="G142" s="2" t="s">
        <v>875</v>
      </c>
      <c r="H142" s="2" t="s">
        <v>468</v>
      </c>
      <c r="I142" s="2" t="s">
        <v>42</v>
      </c>
      <c r="J142" s="2" t="s">
        <v>81</v>
      </c>
      <c r="K142" s="2" t="s">
        <v>44</v>
      </c>
      <c r="L142" s="2" t="s">
        <v>45</v>
      </c>
      <c r="M142" s="2" t="s">
        <v>45</v>
      </c>
      <c r="N142" s="2" t="s">
        <v>132</v>
      </c>
      <c r="O142" s="2" t="s">
        <v>876</v>
      </c>
    </row>
    <row r="143" spans="1:15" ht="200.25">
      <c r="A143" s="2" t="s">
        <v>877</v>
      </c>
      <c r="B143" s="2" t="s">
        <v>878</v>
      </c>
      <c r="C143" s="2" t="s">
        <v>233</v>
      </c>
      <c r="D143" s="2" t="s">
        <v>110</v>
      </c>
      <c r="E143" s="2" t="s">
        <v>879</v>
      </c>
      <c r="F143" s="2" t="s">
        <v>880</v>
      </c>
      <c r="G143" s="2" t="s">
        <v>881</v>
      </c>
      <c r="H143" s="2" t="s">
        <v>468</v>
      </c>
      <c r="I143" s="2" t="s">
        <v>34</v>
      </c>
      <c r="J143" s="2"/>
      <c r="K143" s="2" t="s">
        <v>44</v>
      </c>
      <c r="L143" s="2" t="s">
        <v>45</v>
      </c>
      <c r="M143" s="2" t="s">
        <v>45</v>
      </c>
      <c r="N143" s="2" t="s">
        <v>132</v>
      </c>
      <c r="O143" s="2" t="s">
        <v>882</v>
      </c>
    </row>
    <row r="144" spans="1:15" ht="200.25">
      <c r="A144" s="2" t="s">
        <v>883</v>
      </c>
      <c r="B144" s="2" t="s">
        <v>884</v>
      </c>
      <c r="C144" s="2" t="s">
        <v>202</v>
      </c>
      <c r="D144" s="2" t="s">
        <v>191</v>
      </c>
      <c r="E144" s="2" t="s">
        <v>885</v>
      </c>
      <c r="F144" s="2" t="s">
        <v>886</v>
      </c>
      <c r="G144" s="2" t="s">
        <v>887</v>
      </c>
      <c r="H144" s="2" t="s">
        <v>248</v>
      </c>
      <c r="I144" s="2" t="s">
        <v>42</v>
      </c>
      <c r="J144" s="2" t="s">
        <v>68</v>
      </c>
      <c r="K144" s="2" t="s">
        <v>36</v>
      </c>
      <c r="L144" s="2" t="s">
        <v>45</v>
      </c>
      <c r="M144" s="2" t="s">
        <v>45</v>
      </c>
      <c r="N144" s="2" t="s">
        <v>132</v>
      </c>
      <c r="O144" s="2"/>
    </row>
    <row r="145" spans="1:15" ht="200.25">
      <c r="A145" s="2" t="s">
        <v>888</v>
      </c>
      <c r="B145" s="2" t="s">
        <v>889</v>
      </c>
      <c r="C145" s="2" t="s">
        <v>233</v>
      </c>
      <c r="D145" s="2" t="s">
        <v>110</v>
      </c>
      <c r="E145" s="2" t="s">
        <v>890</v>
      </c>
      <c r="F145" s="2" t="s">
        <v>891</v>
      </c>
      <c r="G145" s="2" t="s">
        <v>892</v>
      </c>
      <c r="H145" s="2" t="s">
        <v>264</v>
      </c>
      <c r="I145" s="2" t="s">
        <v>34</v>
      </c>
      <c r="J145" s="2"/>
      <c r="K145" s="2" t="s">
        <v>36</v>
      </c>
      <c r="L145" s="2" t="s">
        <v>45</v>
      </c>
      <c r="M145" s="2" t="s">
        <v>45</v>
      </c>
      <c r="N145" s="2" t="s">
        <v>132</v>
      </c>
      <c r="O145" s="2" t="s">
        <v>893</v>
      </c>
    </row>
    <row r="146" spans="1:15" ht="200.25">
      <c r="A146" s="2" t="s">
        <v>894</v>
      </c>
      <c r="B146" s="2" t="s">
        <v>895</v>
      </c>
      <c r="C146" s="2" t="s">
        <v>167</v>
      </c>
      <c r="D146" s="2" t="s">
        <v>110</v>
      </c>
      <c r="E146" s="2" t="s">
        <v>896</v>
      </c>
      <c r="F146" s="2" t="s">
        <v>897</v>
      </c>
      <c r="G146" s="2" t="s">
        <v>898</v>
      </c>
      <c r="H146" s="2" t="s">
        <v>242</v>
      </c>
      <c r="I146" s="2" t="s">
        <v>42</v>
      </c>
      <c r="J146" s="2" t="s">
        <v>35</v>
      </c>
      <c r="K146" s="2" t="s">
        <v>36</v>
      </c>
      <c r="L146" s="2" t="s">
        <v>45</v>
      </c>
      <c r="M146" s="2" t="s">
        <v>45</v>
      </c>
      <c r="N146" s="2" t="s">
        <v>132</v>
      </c>
      <c r="O146" s="2"/>
    </row>
    <row r="148" spans="1:15" ht="14.25">
      <c r="I148" s="10">
        <f>COUNTIF(I2:I146,"*Include*")</f>
        <v>32</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300-000000000000}">
          <x14:formula1>
            <xm:f>Data_Dictionary!$A$2:$A$4</xm:f>
          </x14:formula1>
          <xm:sqref>I2:I146</xm:sqref>
        </x14:dataValidation>
        <x14:dataValidation type="list" xr:uid="{00000000-0002-0000-0300-000001000000}">
          <x14:formula1>
            <xm:f>Data_Dictionary!$B$2:$B$11</xm:f>
          </x14:formula1>
          <xm:sqref>J2:J146</xm:sqref>
        </x14:dataValidation>
        <x14:dataValidation type="list" xr:uid="{00000000-0002-0000-0300-000002000000}">
          <x14:formula1>
            <xm:f>Data_Dictionary!$C$2:$C$4</xm:f>
          </x14:formula1>
          <xm:sqref>K2:K146</xm:sqref>
        </x14:dataValidation>
        <x14:dataValidation type="list" xr:uid="{00000000-0002-0000-0300-000003000000}">
          <x14:formula1>
            <xm:f>Data_Dictionary!$D$2:$D$5</xm:f>
          </x14:formula1>
          <xm:sqref>L2:M146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8"/>
  <sheetViews>
    <sheetView tabSelected="1" topLeftCell="F1" workbookViewId="0">
      <selection activeCell="M23" sqref="M23"/>
    </sheetView>
  </sheetViews>
  <sheetFormatPr defaultRowHeight="14.1"/>
  <cols>
    <col min="1" max="1" width="10" customWidth="1"/>
    <col min="2" max="2" width="18" customWidth="1"/>
    <col min="3" max="3" width="8" customWidth="1"/>
    <col min="4" max="4" width="16" customWidth="1"/>
    <col min="5" max="5" width="25" customWidth="1"/>
    <col min="6" max="6" width="42" customWidth="1"/>
    <col min="7" max="7" width="60" customWidth="1"/>
    <col min="8" max="8" width="44" customWidth="1"/>
    <col min="9" max="9" width="18" customWidth="1"/>
    <col min="10" max="10" width="36" customWidth="1"/>
    <col min="11" max="11" width="14" customWidth="1"/>
    <col min="12" max="13" width="18" customWidth="1"/>
    <col min="14" max="14" width="16" customWidth="1"/>
    <col min="15" max="15" width="45" customWidth="1"/>
    <col min="16" max="16" width="36" bestFit="1" customWidth="1"/>
  </cols>
  <sheetData>
    <row r="1" spans="1:16" ht="20.65" customHeight="1">
      <c r="A1" s="3" t="s">
        <v>112</v>
      </c>
      <c r="B1" s="3" t="s">
        <v>113</v>
      </c>
      <c r="C1" s="3" t="s">
        <v>114</v>
      </c>
      <c r="D1" s="3" t="s">
        <v>115</v>
      </c>
      <c r="E1" s="3" t="s">
        <v>116</v>
      </c>
      <c r="F1" s="3" t="s">
        <v>117</v>
      </c>
      <c r="G1" s="3" t="s">
        <v>118</v>
      </c>
      <c r="H1" s="3" t="s">
        <v>119</v>
      </c>
      <c r="I1" s="3" t="s">
        <v>120</v>
      </c>
      <c r="J1" s="3" t="s">
        <v>121</v>
      </c>
      <c r="K1" s="3" t="s">
        <v>28</v>
      </c>
      <c r="L1" s="3" t="s">
        <v>122</v>
      </c>
      <c r="M1" s="3" t="s">
        <v>123</v>
      </c>
      <c r="N1" s="3" t="s">
        <v>124</v>
      </c>
      <c r="O1" s="3" t="s">
        <v>125</v>
      </c>
      <c r="P1" t="s">
        <v>899</v>
      </c>
    </row>
    <row r="2" spans="1:16" ht="84">
      <c r="A2" s="2" t="s">
        <v>126</v>
      </c>
      <c r="B2" s="2" t="s">
        <v>127</v>
      </c>
      <c r="C2" s="2" t="s">
        <v>128</v>
      </c>
      <c r="D2" s="2" t="s">
        <v>104</v>
      </c>
      <c r="E2" s="2" t="s">
        <v>129</v>
      </c>
      <c r="F2" s="2" t="s">
        <v>130</v>
      </c>
      <c r="G2" s="2" t="s">
        <v>130</v>
      </c>
      <c r="H2" s="2" t="s">
        <v>131</v>
      </c>
      <c r="I2" s="2" t="s">
        <v>42</v>
      </c>
      <c r="J2" s="2" t="s">
        <v>73</v>
      </c>
      <c r="K2" s="2" t="s">
        <v>36</v>
      </c>
      <c r="L2" s="2" t="s">
        <v>37</v>
      </c>
      <c r="M2" s="2" t="s">
        <v>37</v>
      </c>
      <c r="N2" s="2" t="s">
        <v>900</v>
      </c>
      <c r="O2" s="2" t="s">
        <v>901</v>
      </c>
    </row>
    <row r="3" spans="1:16" ht="200.25">
      <c r="A3" s="2" t="s">
        <v>133</v>
      </c>
      <c r="B3" s="2" t="s">
        <v>134</v>
      </c>
      <c r="C3" s="2" t="s">
        <v>135</v>
      </c>
      <c r="D3" s="2" t="s">
        <v>104</v>
      </c>
      <c r="E3" s="2" t="s">
        <v>136</v>
      </c>
      <c r="F3" s="2" t="s">
        <v>137</v>
      </c>
      <c r="G3" s="2" t="s">
        <v>138</v>
      </c>
      <c r="H3" s="2" t="s">
        <v>131</v>
      </c>
      <c r="I3" s="2" t="s">
        <v>42</v>
      </c>
      <c r="J3" s="2" t="s">
        <v>73</v>
      </c>
      <c r="K3" s="2" t="s">
        <v>36</v>
      </c>
      <c r="L3" s="2" t="s">
        <v>45</v>
      </c>
      <c r="M3" s="2" t="s">
        <v>45</v>
      </c>
      <c r="N3" s="2" t="s">
        <v>900</v>
      </c>
      <c r="O3" s="2"/>
    </row>
    <row r="4" spans="1:16" ht="200.25">
      <c r="A4" s="2" t="s">
        <v>139</v>
      </c>
      <c r="B4" s="2" t="s">
        <v>140</v>
      </c>
      <c r="C4" s="2" t="s">
        <v>141</v>
      </c>
      <c r="D4" s="2" t="s">
        <v>104</v>
      </c>
      <c r="E4" s="2" t="s">
        <v>142</v>
      </c>
      <c r="F4" s="2" t="s">
        <v>143</v>
      </c>
      <c r="G4" s="2" t="s">
        <v>144</v>
      </c>
      <c r="H4" s="2" t="s">
        <v>131</v>
      </c>
      <c r="I4" s="2" t="s">
        <v>42</v>
      </c>
      <c r="J4" s="2" t="s">
        <v>73</v>
      </c>
      <c r="K4" s="2" t="s">
        <v>36</v>
      </c>
      <c r="L4" s="2" t="s">
        <v>45</v>
      </c>
      <c r="M4" s="2" t="s">
        <v>45</v>
      </c>
      <c r="N4" s="2" t="s">
        <v>900</v>
      </c>
      <c r="O4" s="2"/>
    </row>
    <row r="5" spans="1:16" ht="200.25">
      <c r="A5" s="2" t="s">
        <v>145</v>
      </c>
      <c r="B5" s="2" t="s">
        <v>146</v>
      </c>
      <c r="C5" s="2" t="s">
        <v>141</v>
      </c>
      <c r="D5" s="2" t="s">
        <v>104</v>
      </c>
      <c r="E5" s="2" t="s">
        <v>147</v>
      </c>
      <c r="F5" s="2" t="s">
        <v>148</v>
      </c>
      <c r="G5" s="2" t="s">
        <v>149</v>
      </c>
      <c r="H5" s="2" t="s">
        <v>131</v>
      </c>
      <c r="I5" s="2" t="s">
        <v>42</v>
      </c>
      <c r="J5" s="2" t="s">
        <v>73</v>
      </c>
      <c r="K5" s="2" t="s">
        <v>36</v>
      </c>
      <c r="L5" s="2" t="s">
        <v>45</v>
      </c>
      <c r="M5" s="2" t="s">
        <v>45</v>
      </c>
      <c r="N5" s="2" t="s">
        <v>900</v>
      </c>
      <c r="O5" s="2"/>
    </row>
    <row r="6" spans="1:16" ht="84">
      <c r="A6" s="2" t="s">
        <v>150</v>
      </c>
      <c r="B6" s="2" t="s">
        <v>151</v>
      </c>
      <c r="C6" s="2" t="s">
        <v>152</v>
      </c>
      <c r="D6" s="2" t="s">
        <v>104</v>
      </c>
      <c r="E6" s="2" t="s">
        <v>153</v>
      </c>
      <c r="F6" s="2" t="s">
        <v>154</v>
      </c>
      <c r="G6" s="2" t="s">
        <v>154</v>
      </c>
      <c r="H6" s="2" t="s">
        <v>131</v>
      </c>
      <c r="I6" s="2" t="s">
        <v>42</v>
      </c>
      <c r="J6" s="2" t="s">
        <v>73</v>
      </c>
      <c r="K6" s="2" t="s">
        <v>44</v>
      </c>
      <c r="L6" s="2"/>
      <c r="M6" s="2" t="s">
        <v>45</v>
      </c>
      <c r="N6" s="2" t="s">
        <v>900</v>
      </c>
      <c r="O6" s="2"/>
    </row>
    <row r="7" spans="1:16" ht="200.25">
      <c r="A7" s="2" t="s">
        <v>155</v>
      </c>
      <c r="B7" s="2" t="s">
        <v>156</v>
      </c>
      <c r="C7" s="2" t="s">
        <v>157</v>
      </c>
      <c r="D7" s="2" t="s">
        <v>104</v>
      </c>
      <c r="E7" s="2" t="s">
        <v>158</v>
      </c>
      <c r="F7" s="2" t="s">
        <v>159</v>
      </c>
      <c r="G7" s="2" t="s">
        <v>160</v>
      </c>
      <c r="H7" s="2" t="s">
        <v>131</v>
      </c>
      <c r="I7" s="2" t="s">
        <v>42</v>
      </c>
      <c r="J7" s="2" t="s">
        <v>73</v>
      </c>
      <c r="K7" s="2" t="s">
        <v>36</v>
      </c>
      <c r="L7" s="2" t="s">
        <v>45</v>
      </c>
      <c r="M7" s="2" t="s">
        <v>45</v>
      </c>
      <c r="N7" s="2" t="s">
        <v>900</v>
      </c>
      <c r="O7" s="2"/>
    </row>
    <row r="8" spans="1:16" ht="216.75">
      <c r="A8" s="2" t="s">
        <v>161</v>
      </c>
      <c r="B8" s="2" t="s">
        <v>162</v>
      </c>
      <c r="C8" s="2" t="s">
        <v>157</v>
      </c>
      <c r="D8" s="2" t="s">
        <v>104</v>
      </c>
      <c r="E8" s="2" t="s">
        <v>163</v>
      </c>
      <c r="F8" s="2" t="s">
        <v>164</v>
      </c>
      <c r="G8" s="2" t="s">
        <v>165</v>
      </c>
      <c r="H8" s="2" t="s">
        <v>131</v>
      </c>
      <c r="I8" s="2" t="s">
        <v>42</v>
      </c>
      <c r="J8" s="2" t="s">
        <v>73</v>
      </c>
      <c r="K8" s="2" t="s">
        <v>36</v>
      </c>
      <c r="L8" s="2" t="s">
        <v>45</v>
      </c>
      <c r="M8" s="2" t="s">
        <v>45</v>
      </c>
      <c r="N8" s="2" t="s">
        <v>900</v>
      </c>
      <c r="O8" s="2"/>
    </row>
    <row r="9" spans="1:16" ht="84">
      <c r="A9" s="2" t="s">
        <v>166</v>
      </c>
      <c r="B9" s="2" t="s">
        <v>167</v>
      </c>
      <c r="C9" s="2" t="s">
        <v>167</v>
      </c>
      <c r="D9" s="2" t="s">
        <v>168</v>
      </c>
      <c r="E9" s="2" t="s">
        <v>169</v>
      </c>
      <c r="F9" s="2" t="s">
        <v>170</v>
      </c>
      <c r="G9" s="2" t="s">
        <v>170</v>
      </c>
      <c r="H9" s="2" t="s">
        <v>131</v>
      </c>
      <c r="I9" s="2" t="s">
        <v>42</v>
      </c>
      <c r="J9" s="2" t="s">
        <v>73</v>
      </c>
      <c r="K9" s="2" t="s">
        <v>44</v>
      </c>
      <c r="L9" s="2" t="s">
        <v>45</v>
      </c>
      <c r="M9" s="2" t="s">
        <v>45</v>
      </c>
      <c r="N9" s="2" t="s">
        <v>900</v>
      </c>
      <c r="O9" s="2"/>
    </row>
    <row r="10" spans="1:16" ht="200.25">
      <c r="A10" s="2" t="s">
        <v>171</v>
      </c>
      <c r="B10" s="2" t="s">
        <v>172</v>
      </c>
      <c r="C10" s="2" t="s">
        <v>167</v>
      </c>
      <c r="D10" s="2" t="s">
        <v>104</v>
      </c>
      <c r="E10" s="2" t="s">
        <v>173</v>
      </c>
      <c r="F10" s="2" t="s">
        <v>174</v>
      </c>
      <c r="G10" s="2" t="s">
        <v>175</v>
      </c>
      <c r="H10" s="2" t="s">
        <v>131</v>
      </c>
      <c r="I10" s="2" t="s">
        <v>42</v>
      </c>
      <c r="J10" s="2" t="s">
        <v>73</v>
      </c>
      <c r="K10" s="2" t="s">
        <v>36</v>
      </c>
      <c r="L10" s="2" t="s">
        <v>45</v>
      </c>
      <c r="M10" s="2" t="s">
        <v>45</v>
      </c>
      <c r="N10" s="2" t="s">
        <v>900</v>
      </c>
      <c r="O10" s="2"/>
    </row>
    <row r="11" spans="1:16" ht="200.25">
      <c r="A11" s="2" t="s">
        <v>176</v>
      </c>
      <c r="B11" s="2" t="s">
        <v>177</v>
      </c>
      <c r="C11" s="2" t="s">
        <v>167</v>
      </c>
      <c r="D11" s="2" t="s">
        <v>104</v>
      </c>
      <c r="E11" s="2" t="s">
        <v>178</v>
      </c>
      <c r="F11" s="2" t="s">
        <v>137</v>
      </c>
      <c r="G11" s="2" t="s">
        <v>179</v>
      </c>
      <c r="H11" s="2" t="s">
        <v>131</v>
      </c>
      <c r="I11" s="2" t="s">
        <v>42</v>
      </c>
      <c r="J11" s="2" t="s">
        <v>73</v>
      </c>
      <c r="K11" s="2" t="s">
        <v>44</v>
      </c>
      <c r="L11" s="2" t="s">
        <v>45</v>
      </c>
      <c r="M11" s="2" t="s">
        <v>45</v>
      </c>
      <c r="N11" s="2" t="s">
        <v>900</v>
      </c>
      <c r="O11" s="2"/>
    </row>
    <row r="12" spans="1:16" ht="216.75">
      <c r="A12" s="2" t="s">
        <v>180</v>
      </c>
      <c r="B12" s="2" t="s">
        <v>177</v>
      </c>
      <c r="C12" s="2" t="s">
        <v>167</v>
      </c>
      <c r="D12" s="2" t="s">
        <v>104</v>
      </c>
      <c r="E12" s="2" t="s">
        <v>181</v>
      </c>
      <c r="F12" s="2" t="s">
        <v>182</v>
      </c>
      <c r="G12" s="2" t="s">
        <v>183</v>
      </c>
      <c r="H12" s="2" t="s">
        <v>131</v>
      </c>
      <c r="I12" s="2" t="s">
        <v>42</v>
      </c>
      <c r="J12" s="2" t="s">
        <v>73</v>
      </c>
      <c r="K12" s="2" t="s">
        <v>36</v>
      </c>
      <c r="L12" s="2" t="s">
        <v>45</v>
      </c>
      <c r="M12" s="2" t="s">
        <v>45</v>
      </c>
      <c r="N12" s="2" t="s">
        <v>900</v>
      </c>
      <c r="O12" s="2"/>
    </row>
    <row r="13" spans="1:16" ht="200.25">
      <c r="A13" s="2" t="s">
        <v>184</v>
      </c>
      <c r="B13" s="2" t="s">
        <v>185</v>
      </c>
      <c r="C13" s="2" t="s">
        <v>167</v>
      </c>
      <c r="D13" s="2" t="s">
        <v>104</v>
      </c>
      <c r="E13" s="2" t="s">
        <v>186</v>
      </c>
      <c r="F13" s="2" t="s">
        <v>187</v>
      </c>
      <c r="G13" s="2" t="s">
        <v>188</v>
      </c>
      <c r="H13" s="2" t="s">
        <v>131</v>
      </c>
      <c r="I13" s="2" t="s">
        <v>42</v>
      </c>
      <c r="J13" s="2" t="s">
        <v>73</v>
      </c>
      <c r="K13" s="2" t="s">
        <v>36</v>
      </c>
      <c r="L13" s="2" t="s">
        <v>45</v>
      </c>
      <c r="M13" s="2" t="s">
        <v>45</v>
      </c>
      <c r="N13" s="2" t="s">
        <v>900</v>
      </c>
      <c r="O13" s="2"/>
    </row>
    <row r="14" spans="1:16" ht="216.75">
      <c r="A14" s="2" t="s">
        <v>189</v>
      </c>
      <c r="B14" s="2" t="s">
        <v>190</v>
      </c>
      <c r="C14" s="2" t="s">
        <v>190</v>
      </c>
      <c r="D14" s="2" t="s">
        <v>191</v>
      </c>
      <c r="E14" s="2" t="s">
        <v>192</v>
      </c>
      <c r="F14" s="2" t="s">
        <v>193</v>
      </c>
      <c r="G14" s="2" t="s">
        <v>194</v>
      </c>
      <c r="H14" s="2" t="s">
        <v>131</v>
      </c>
      <c r="I14" s="2" t="s">
        <v>42</v>
      </c>
      <c r="J14" s="2" t="s">
        <v>73</v>
      </c>
      <c r="K14" s="2" t="s">
        <v>36</v>
      </c>
      <c r="L14" s="2" t="s">
        <v>45</v>
      </c>
      <c r="M14" s="2" t="s">
        <v>45</v>
      </c>
      <c r="N14" s="2" t="s">
        <v>900</v>
      </c>
      <c r="O14" s="2"/>
    </row>
    <row r="15" spans="1:16" ht="200.25">
      <c r="A15" s="2" t="s">
        <v>195</v>
      </c>
      <c r="B15" s="2" t="s">
        <v>196</v>
      </c>
      <c r="C15" s="2" t="s">
        <v>190</v>
      </c>
      <c r="D15" s="2" t="s">
        <v>104</v>
      </c>
      <c r="E15" s="2" t="s">
        <v>197</v>
      </c>
      <c r="F15" s="2" t="s">
        <v>198</v>
      </c>
      <c r="G15" s="2" t="s">
        <v>199</v>
      </c>
      <c r="H15" s="2" t="s">
        <v>131</v>
      </c>
      <c r="I15" s="2" t="s">
        <v>42</v>
      </c>
      <c r="J15" s="2" t="s">
        <v>73</v>
      </c>
      <c r="K15" s="2" t="s">
        <v>36</v>
      </c>
      <c r="L15" s="2" t="s">
        <v>45</v>
      </c>
      <c r="M15" s="2" t="s">
        <v>45</v>
      </c>
      <c r="N15" s="2" t="s">
        <v>900</v>
      </c>
      <c r="O15" s="2"/>
    </row>
    <row r="16" spans="1:16" ht="200.25">
      <c r="A16" s="2" t="s">
        <v>200</v>
      </c>
      <c r="B16" s="2" t="s">
        <v>201</v>
      </c>
      <c r="C16" s="2" t="s">
        <v>202</v>
      </c>
      <c r="D16" s="2" t="s">
        <v>104</v>
      </c>
      <c r="E16" s="2" t="s">
        <v>203</v>
      </c>
      <c r="F16" s="2" t="s">
        <v>204</v>
      </c>
      <c r="G16" s="2" t="s">
        <v>205</v>
      </c>
      <c r="H16" s="2" t="s">
        <v>131</v>
      </c>
      <c r="I16" s="2" t="s">
        <v>42</v>
      </c>
      <c r="J16" s="2" t="s">
        <v>73</v>
      </c>
      <c r="K16" s="2" t="s">
        <v>36</v>
      </c>
      <c r="L16" s="2" t="s">
        <v>45</v>
      </c>
      <c r="M16" s="2" t="s">
        <v>45</v>
      </c>
      <c r="N16" s="2" t="s">
        <v>900</v>
      </c>
      <c r="O16" s="2"/>
    </row>
    <row r="17" spans="1:15" ht="200.25">
      <c r="A17" s="2" t="s">
        <v>206</v>
      </c>
      <c r="B17" s="2" t="s">
        <v>207</v>
      </c>
      <c r="C17" s="2" t="s">
        <v>202</v>
      </c>
      <c r="D17" s="2" t="s">
        <v>104</v>
      </c>
      <c r="E17" s="2" t="s">
        <v>208</v>
      </c>
      <c r="F17" s="2" t="s">
        <v>209</v>
      </c>
      <c r="G17" s="2" t="s">
        <v>210</v>
      </c>
      <c r="H17" s="2" t="s">
        <v>211</v>
      </c>
      <c r="I17" s="2" t="s">
        <v>42</v>
      </c>
      <c r="J17" s="2" t="s">
        <v>43</v>
      </c>
      <c r="K17" s="2" t="s">
        <v>36</v>
      </c>
      <c r="L17" s="2" t="s">
        <v>45</v>
      </c>
      <c r="M17" s="2" t="s">
        <v>45</v>
      </c>
      <c r="N17" s="2" t="s">
        <v>900</v>
      </c>
      <c r="O17" s="2"/>
    </row>
    <row r="18" spans="1:15" ht="84">
      <c r="A18" s="2" t="s">
        <v>213</v>
      </c>
      <c r="B18" s="2" t="s">
        <v>207</v>
      </c>
      <c r="C18" s="2" t="s">
        <v>202</v>
      </c>
      <c r="D18" s="2" t="s">
        <v>104</v>
      </c>
      <c r="E18" s="2" t="s">
        <v>214</v>
      </c>
      <c r="F18" s="2" t="s">
        <v>215</v>
      </c>
      <c r="G18" s="2" t="s">
        <v>215</v>
      </c>
      <c r="H18" s="2" t="s">
        <v>131</v>
      </c>
      <c r="I18" s="2" t="s">
        <v>42</v>
      </c>
      <c r="J18" s="2" t="s">
        <v>73</v>
      </c>
      <c r="K18" s="2" t="s">
        <v>36</v>
      </c>
      <c r="L18" s="2"/>
      <c r="M18" s="2" t="s">
        <v>45</v>
      </c>
      <c r="N18" s="2" t="s">
        <v>900</v>
      </c>
      <c r="O18" s="2"/>
    </row>
    <row r="19" spans="1:15" ht="200.25">
      <c r="A19" s="2" t="s">
        <v>216</v>
      </c>
      <c r="B19" s="2" t="s">
        <v>217</v>
      </c>
      <c r="C19" s="2" t="s">
        <v>202</v>
      </c>
      <c r="D19" s="2" t="s">
        <v>104</v>
      </c>
      <c r="E19" s="2" t="s">
        <v>218</v>
      </c>
      <c r="F19" s="2" t="s">
        <v>219</v>
      </c>
      <c r="G19" s="2" t="s">
        <v>220</v>
      </c>
      <c r="H19" s="2" t="s">
        <v>131</v>
      </c>
      <c r="I19" s="2" t="s">
        <v>42</v>
      </c>
      <c r="J19" s="2" t="s">
        <v>73</v>
      </c>
      <c r="K19" s="2" t="s">
        <v>36</v>
      </c>
      <c r="L19" s="2" t="s">
        <v>45</v>
      </c>
      <c r="M19" s="2" t="s">
        <v>45</v>
      </c>
      <c r="N19" s="2" t="s">
        <v>900</v>
      </c>
      <c r="O19" s="2"/>
    </row>
    <row r="20" spans="1:15" ht="200.25">
      <c r="A20" s="2" t="s">
        <v>221</v>
      </c>
      <c r="B20" s="2" t="s">
        <v>222</v>
      </c>
      <c r="C20" s="2" t="s">
        <v>202</v>
      </c>
      <c r="D20" s="2" t="s">
        <v>191</v>
      </c>
      <c r="E20" s="2" t="s">
        <v>223</v>
      </c>
      <c r="F20" s="2" t="s">
        <v>224</v>
      </c>
      <c r="G20" s="2" t="s">
        <v>225</v>
      </c>
      <c r="H20" s="2" t="s">
        <v>131</v>
      </c>
      <c r="I20" s="2" t="s">
        <v>42</v>
      </c>
      <c r="J20" s="2" t="s">
        <v>73</v>
      </c>
      <c r="K20" s="2" t="s">
        <v>44</v>
      </c>
      <c r="L20" s="2"/>
      <c r="M20" s="2" t="s">
        <v>45</v>
      </c>
      <c r="N20" s="2" t="s">
        <v>900</v>
      </c>
      <c r="O20" s="2"/>
    </row>
    <row r="21" spans="1:15" ht="200.25">
      <c r="A21" s="2" t="s">
        <v>226</v>
      </c>
      <c r="B21" s="2" t="s">
        <v>227</v>
      </c>
      <c r="C21" s="2" t="s">
        <v>202</v>
      </c>
      <c r="D21" s="2" t="s">
        <v>191</v>
      </c>
      <c r="E21" s="2" t="s">
        <v>228</v>
      </c>
      <c r="F21" s="2" t="s">
        <v>229</v>
      </c>
      <c r="G21" s="2" t="s">
        <v>230</v>
      </c>
      <c r="H21" s="2" t="s">
        <v>131</v>
      </c>
      <c r="I21" s="2" t="s">
        <v>42</v>
      </c>
      <c r="J21" s="2" t="s">
        <v>73</v>
      </c>
      <c r="K21" s="2" t="s">
        <v>36</v>
      </c>
      <c r="L21" s="2" t="s">
        <v>45</v>
      </c>
      <c r="M21" s="2" t="s">
        <v>45</v>
      </c>
      <c r="N21" s="2" t="s">
        <v>900</v>
      </c>
      <c r="O21" s="2"/>
    </row>
    <row r="22" spans="1:15" ht="200.25">
      <c r="A22" s="2" t="s">
        <v>231</v>
      </c>
      <c r="B22" s="2" t="s">
        <v>232</v>
      </c>
      <c r="C22" s="2" t="s">
        <v>233</v>
      </c>
      <c r="D22" s="2" t="s">
        <v>104</v>
      </c>
      <c r="E22" s="2" t="s">
        <v>234</v>
      </c>
      <c r="F22" s="2" t="s">
        <v>235</v>
      </c>
      <c r="G22" s="2" t="s">
        <v>236</v>
      </c>
      <c r="H22" s="2" t="s">
        <v>131</v>
      </c>
      <c r="I22" s="2" t="s">
        <v>42</v>
      </c>
      <c r="J22" s="2" t="s">
        <v>73</v>
      </c>
      <c r="K22" s="2" t="s">
        <v>36</v>
      </c>
      <c r="L22" s="2" t="s">
        <v>45</v>
      </c>
      <c r="M22" s="2" t="s">
        <v>45</v>
      </c>
      <c r="N22" s="2" t="s">
        <v>900</v>
      </c>
      <c r="O22" s="2"/>
    </row>
    <row r="23" spans="1:15" ht="216.75">
      <c r="A23" s="2" t="s">
        <v>237</v>
      </c>
      <c r="B23" s="2" t="s">
        <v>238</v>
      </c>
      <c r="C23" s="2" t="s">
        <v>190</v>
      </c>
      <c r="D23" s="2" t="s">
        <v>168</v>
      </c>
      <c r="E23" s="2" t="s">
        <v>239</v>
      </c>
      <c r="F23" s="2" t="s">
        <v>240</v>
      </c>
      <c r="G23" s="2" t="s">
        <v>241</v>
      </c>
      <c r="H23" s="2" t="s">
        <v>242</v>
      </c>
      <c r="I23" s="2" t="s">
        <v>42</v>
      </c>
      <c r="J23" s="2" t="s">
        <v>35</v>
      </c>
      <c r="K23" s="2" t="s">
        <v>44</v>
      </c>
      <c r="L23" s="2" t="s">
        <v>45</v>
      </c>
      <c r="M23" s="2" t="s">
        <v>45</v>
      </c>
      <c r="N23" s="2" t="s">
        <v>900</v>
      </c>
      <c r="O23" s="2"/>
    </row>
    <row r="24" spans="1:15" ht="200.25">
      <c r="A24" s="2" t="s">
        <v>243</v>
      </c>
      <c r="B24" s="2" t="s">
        <v>244</v>
      </c>
      <c r="C24" s="2" t="s">
        <v>202</v>
      </c>
      <c r="D24" s="2" t="s">
        <v>104</v>
      </c>
      <c r="E24" s="2" t="s">
        <v>245</v>
      </c>
      <c r="F24" s="2" t="s">
        <v>246</v>
      </c>
      <c r="G24" s="2" t="s">
        <v>247</v>
      </c>
      <c r="H24" s="2" t="s">
        <v>248</v>
      </c>
      <c r="I24" s="8" t="s">
        <v>42</v>
      </c>
      <c r="J24" s="2" t="s">
        <v>68</v>
      </c>
      <c r="K24" s="2" t="s">
        <v>44</v>
      </c>
      <c r="L24" s="2" t="s">
        <v>45</v>
      </c>
      <c r="M24" s="2" t="s">
        <v>45</v>
      </c>
      <c r="N24" s="2" t="s">
        <v>900</v>
      </c>
      <c r="O24" s="2" t="s">
        <v>902</v>
      </c>
    </row>
    <row r="25" spans="1:15" ht="200.25">
      <c r="A25" s="2" t="s">
        <v>249</v>
      </c>
      <c r="B25" s="2" t="s">
        <v>250</v>
      </c>
      <c r="C25" s="2" t="s">
        <v>233</v>
      </c>
      <c r="D25" s="2" t="s">
        <v>168</v>
      </c>
      <c r="E25" s="2" t="s">
        <v>251</v>
      </c>
      <c r="F25" s="2" t="s">
        <v>252</v>
      </c>
      <c r="G25" s="2" t="s">
        <v>253</v>
      </c>
      <c r="H25" s="2" t="s">
        <v>242</v>
      </c>
      <c r="I25" s="2" t="s">
        <v>903</v>
      </c>
      <c r="J25" s="2" t="s">
        <v>35</v>
      </c>
      <c r="K25" s="2" t="s">
        <v>36</v>
      </c>
      <c r="L25" s="2" t="s">
        <v>45</v>
      </c>
      <c r="M25" s="2" t="s">
        <v>45</v>
      </c>
      <c r="N25" s="2" t="s">
        <v>900</v>
      </c>
      <c r="O25" s="2" t="s">
        <v>904</v>
      </c>
    </row>
    <row r="26" spans="1:15" ht="200.25">
      <c r="A26" s="2" t="s">
        <v>254</v>
      </c>
      <c r="B26" s="2" t="s">
        <v>255</v>
      </c>
      <c r="C26" s="2" t="s">
        <v>152</v>
      </c>
      <c r="D26" s="2" t="s">
        <v>168</v>
      </c>
      <c r="E26" s="2" t="s">
        <v>256</v>
      </c>
      <c r="F26" s="2" t="s">
        <v>257</v>
      </c>
      <c r="G26" s="2" t="s">
        <v>258</v>
      </c>
      <c r="H26" s="2" t="s">
        <v>248</v>
      </c>
      <c r="I26" s="2" t="s">
        <v>42</v>
      </c>
      <c r="J26" s="2" t="s">
        <v>43</v>
      </c>
      <c r="K26" s="2" t="s">
        <v>36</v>
      </c>
      <c r="L26" s="2" t="s">
        <v>45</v>
      </c>
      <c r="M26" s="2" t="s">
        <v>45</v>
      </c>
      <c r="N26" s="2" t="s">
        <v>900</v>
      </c>
      <c r="O26" s="2"/>
    </row>
    <row r="27" spans="1:15" ht="166.5" customHeight="1">
      <c r="A27" s="2" t="s">
        <v>259</v>
      </c>
      <c r="B27" s="2" t="s">
        <v>260</v>
      </c>
      <c r="C27" s="2" t="s">
        <v>190</v>
      </c>
      <c r="D27" s="2" t="s">
        <v>110</v>
      </c>
      <c r="E27" s="2" t="s">
        <v>261</v>
      </c>
      <c r="F27" s="2" t="s">
        <v>262</v>
      </c>
      <c r="G27" s="2" t="s">
        <v>263</v>
      </c>
      <c r="H27" s="2" t="s">
        <v>264</v>
      </c>
      <c r="I27" s="2" t="s">
        <v>34</v>
      </c>
      <c r="J27" s="9"/>
      <c r="K27" s="2" t="s">
        <v>36</v>
      </c>
      <c r="L27" s="2" t="s">
        <v>45</v>
      </c>
      <c r="M27" s="2" t="s">
        <v>45</v>
      </c>
      <c r="N27" s="2" t="s">
        <v>900</v>
      </c>
      <c r="O27" s="2"/>
    </row>
    <row r="28" spans="1:15" ht="200.25">
      <c r="A28" s="2" t="s">
        <v>265</v>
      </c>
      <c r="B28" s="2" t="s">
        <v>266</v>
      </c>
      <c r="C28" s="2" t="s">
        <v>202</v>
      </c>
      <c r="D28" s="2" t="s">
        <v>267</v>
      </c>
      <c r="E28" s="2" t="s">
        <v>268</v>
      </c>
      <c r="F28" s="2" t="s">
        <v>269</v>
      </c>
      <c r="G28" s="2" t="s">
        <v>270</v>
      </c>
      <c r="H28" s="2" t="s">
        <v>248</v>
      </c>
      <c r="I28" s="2" t="s">
        <v>42</v>
      </c>
      <c r="J28" s="2" t="s">
        <v>68</v>
      </c>
      <c r="K28" s="2" t="s">
        <v>36</v>
      </c>
      <c r="L28" s="2" t="s">
        <v>45</v>
      </c>
      <c r="M28" s="2" t="s">
        <v>45</v>
      </c>
      <c r="N28" s="2" t="s">
        <v>900</v>
      </c>
      <c r="O28" s="2"/>
    </row>
    <row r="29" spans="1:15" ht="200.25">
      <c r="A29" s="2" t="s">
        <v>271</v>
      </c>
      <c r="B29" s="2" t="s">
        <v>272</v>
      </c>
      <c r="C29" s="2" t="s">
        <v>190</v>
      </c>
      <c r="D29" s="2" t="s">
        <v>267</v>
      </c>
      <c r="E29" s="2" t="s">
        <v>273</v>
      </c>
      <c r="F29" s="2" t="s">
        <v>274</v>
      </c>
      <c r="G29" s="2" t="s">
        <v>275</v>
      </c>
      <c r="H29" s="2" t="s">
        <v>276</v>
      </c>
      <c r="I29" s="2" t="s">
        <v>42</v>
      </c>
      <c r="J29" s="2" t="s">
        <v>43</v>
      </c>
      <c r="K29" s="2" t="s">
        <v>36</v>
      </c>
      <c r="L29" s="2" t="s">
        <v>45</v>
      </c>
      <c r="M29" s="2" t="s">
        <v>45</v>
      </c>
      <c r="N29" s="2" t="s">
        <v>900</v>
      </c>
      <c r="O29" s="2"/>
    </row>
    <row r="30" spans="1:15" ht="216.75">
      <c r="A30" s="2" t="s">
        <v>277</v>
      </c>
      <c r="B30" s="2" t="s">
        <v>278</v>
      </c>
      <c r="C30" s="2" t="s">
        <v>190</v>
      </c>
      <c r="D30" s="2" t="s">
        <v>168</v>
      </c>
      <c r="E30" s="2" t="s">
        <v>279</v>
      </c>
      <c r="F30" s="2" t="s">
        <v>280</v>
      </c>
      <c r="G30" s="2" t="s">
        <v>281</v>
      </c>
      <c r="H30" s="2" t="s">
        <v>248</v>
      </c>
      <c r="I30" s="2" t="s">
        <v>42</v>
      </c>
      <c r="J30" s="2" t="s">
        <v>43</v>
      </c>
      <c r="K30" s="2" t="s">
        <v>36</v>
      </c>
      <c r="L30" s="2" t="s">
        <v>45</v>
      </c>
      <c r="M30" s="2" t="s">
        <v>45</v>
      </c>
      <c r="N30" s="2" t="s">
        <v>900</v>
      </c>
      <c r="O30" s="2"/>
    </row>
    <row r="31" spans="1:15" ht="216.75">
      <c r="A31" s="2" t="s">
        <v>282</v>
      </c>
      <c r="B31" s="2" t="s">
        <v>283</v>
      </c>
      <c r="C31" s="2" t="s">
        <v>135</v>
      </c>
      <c r="D31" s="2" t="s">
        <v>267</v>
      </c>
      <c r="E31" s="2" t="s">
        <v>284</v>
      </c>
      <c r="F31" s="2" t="s">
        <v>285</v>
      </c>
      <c r="G31" s="2" t="s">
        <v>286</v>
      </c>
      <c r="H31" s="2" t="s">
        <v>264</v>
      </c>
      <c r="I31" s="2" t="s">
        <v>34</v>
      </c>
      <c r="J31" s="2"/>
      <c r="K31" s="2" t="s">
        <v>36</v>
      </c>
      <c r="L31" s="2" t="s">
        <v>45</v>
      </c>
      <c r="M31" s="2" t="s">
        <v>45</v>
      </c>
      <c r="N31" s="2" t="s">
        <v>900</v>
      </c>
      <c r="O31" s="2"/>
    </row>
    <row r="32" spans="1:15" ht="200.25">
      <c r="A32" s="2" t="s">
        <v>287</v>
      </c>
      <c r="B32" s="2" t="s">
        <v>288</v>
      </c>
      <c r="C32" s="2" t="s">
        <v>202</v>
      </c>
      <c r="D32" s="2" t="s">
        <v>110</v>
      </c>
      <c r="E32" s="2" t="s">
        <v>289</v>
      </c>
      <c r="F32" s="2" t="s">
        <v>290</v>
      </c>
      <c r="G32" s="2" t="s">
        <v>291</v>
      </c>
      <c r="H32" s="2" t="s">
        <v>264</v>
      </c>
      <c r="I32" s="2" t="s">
        <v>42</v>
      </c>
      <c r="J32" s="2"/>
      <c r="K32" s="2" t="s">
        <v>36</v>
      </c>
      <c r="L32" s="2"/>
      <c r="M32" s="2" t="s">
        <v>45</v>
      </c>
      <c r="N32" s="2" t="s">
        <v>900</v>
      </c>
      <c r="O32" s="2"/>
    </row>
    <row r="33" spans="1:15" ht="200.25">
      <c r="A33" s="2" t="s">
        <v>292</v>
      </c>
      <c r="B33" s="2" t="s">
        <v>293</v>
      </c>
      <c r="C33" s="2" t="s">
        <v>233</v>
      </c>
      <c r="D33" s="2" t="s">
        <v>110</v>
      </c>
      <c r="E33" s="2" t="s">
        <v>294</v>
      </c>
      <c r="F33" s="2" t="s">
        <v>295</v>
      </c>
      <c r="G33" s="2" t="s">
        <v>296</v>
      </c>
      <c r="H33" s="2" t="s">
        <v>242</v>
      </c>
      <c r="I33" s="2" t="s">
        <v>42</v>
      </c>
      <c r="J33" s="2" t="s">
        <v>43</v>
      </c>
      <c r="K33" s="2" t="s">
        <v>36</v>
      </c>
      <c r="L33" s="2" t="s">
        <v>45</v>
      </c>
      <c r="M33" s="2" t="s">
        <v>45</v>
      </c>
      <c r="N33" s="2" t="s">
        <v>900</v>
      </c>
      <c r="O33" s="2"/>
    </row>
    <row r="34" spans="1:15" ht="200.25">
      <c r="A34" s="2" t="s">
        <v>297</v>
      </c>
      <c r="B34" s="2" t="s">
        <v>298</v>
      </c>
      <c r="C34" s="2" t="s">
        <v>299</v>
      </c>
      <c r="D34" s="2" t="s">
        <v>300</v>
      </c>
      <c r="E34" s="2" t="s">
        <v>301</v>
      </c>
      <c r="F34" s="2" t="s">
        <v>302</v>
      </c>
      <c r="G34" s="2" t="s">
        <v>303</v>
      </c>
      <c r="H34" s="2" t="s">
        <v>248</v>
      </c>
      <c r="I34" s="2" t="s">
        <v>42</v>
      </c>
      <c r="J34" s="2" t="s">
        <v>43</v>
      </c>
      <c r="K34" s="2" t="s">
        <v>36</v>
      </c>
      <c r="L34" s="2" t="s">
        <v>45</v>
      </c>
      <c r="M34" s="2" t="s">
        <v>45</v>
      </c>
      <c r="N34" s="2" t="s">
        <v>900</v>
      </c>
      <c r="O34" s="2"/>
    </row>
    <row r="35" spans="1:15" ht="216.75">
      <c r="A35" s="2" t="s">
        <v>304</v>
      </c>
      <c r="B35" s="2" t="s">
        <v>305</v>
      </c>
      <c r="C35" s="2" t="s">
        <v>167</v>
      </c>
      <c r="D35" s="2" t="s">
        <v>104</v>
      </c>
      <c r="E35" s="2" t="s">
        <v>306</v>
      </c>
      <c r="F35" s="2" t="s">
        <v>307</v>
      </c>
      <c r="G35" s="2" t="s">
        <v>308</v>
      </c>
      <c r="H35" s="2" t="s">
        <v>248</v>
      </c>
      <c r="I35" s="2" t="s">
        <v>42</v>
      </c>
      <c r="J35" s="2" t="s">
        <v>68</v>
      </c>
      <c r="K35" s="2" t="s">
        <v>36</v>
      </c>
      <c r="L35" s="2" t="s">
        <v>45</v>
      </c>
      <c r="M35" s="2" t="s">
        <v>45</v>
      </c>
      <c r="N35" s="2" t="s">
        <v>900</v>
      </c>
      <c r="O35" s="2"/>
    </row>
    <row r="36" spans="1:15" ht="200.25">
      <c r="A36" s="2" t="s">
        <v>309</v>
      </c>
      <c r="B36" s="2" t="s">
        <v>310</v>
      </c>
      <c r="C36" s="2" t="s">
        <v>135</v>
      </c>
      <c r="D36" s="2" t="s">
        <v>300</v>
      </c>
      <c r="E36" s="2" t="s">
        <v>311</v>
      </c>
      <c r="F36" s="2" t="s">
        <v>312</v>
      </c>
      <c r="G36" s="2" t="s">
        <v>313</v>
      </c>
      <c r="H36" s="2" t="s">
        <v>248</v>
      </c>
      <c r="I36" s="2" t="s">
        <v>42</v>
      </c>
      <c r="J36" s="2" t="s">
        <v>43</v>
      </c>
      <c r="K36" s="2" t="s">
        <v>36</v>
      </c>
      <c r="L36" s="2" t="s">
        <v>45</v>
      </c>
      <c r="M36" s="2" t="s">
        <v>45</v>
      </c>
      <c r="N36" s="2" t="s">
        <v>900</v>
      </c>
      <c r="O36" s="2"/>
    </row>
    <row r="37" spans="1:15" ht="200.25">
      <c r="A37" s="2" t="s">
        <v>314</v>
      </c>
      <c r="B37" s="2" t="s">
        <v>315</v>
      </c>
      <c r="C37" s="2" t="s">
        <v>202</v>
      </c>
      <c r="D37" s="2" t="s">
        <v>191</v>
      </c>
      <c r="E37" s="2" t="s">
        <v>316</v>
      </c>
      <c r="F37" s="2" t="s">
        <v>317</v>
      </c>
      <c r="G37" s="2" t="s">
        <v>318</v>
      </c>
      <c r="H37" s="2" t="s">
        <v>248</v>
      </c>
      <c r="I37" s="2" t="s">
        <v>42</v>
      </c>
      <c r="J37" s="2" t="s">
        <v>43</v>
      </c>
      <c r="K37" s="2" t="s">
        <v>36</v>
      </c>
      <c r="L37" s="2" t="s">
        <v>45</v>
      </c>
      <c r="M37" s="2" t="s">
        <v>45</v>
      </c>
      <c r="N37" s="2" t="s">
        <v>900</v>
      </c>
      <c r="O37" s="2"/>
    </row>
    <row r="38" spans="1:15" ht="200.25">
      <c r="A38" s="2" t="s">
        <v>319</v>
      </c>
      <c r="B38" s="2" t="s">
        <v>320</v>
      </c>
      <c r="C38" s="2" t="s">
        <v>157</v>
      </c>
      <c r="D38" s="2" t="s">
        <v>191</v>
      </c>
      <c r="E38" s="2" t="s">
        <v>321</v>
      </c>
      <c r="F38" s="2" t="s">
        <v>322</v>
      </c>
      <c r="G38" s="2" t="s">
        <v>323</v>
      </c>
      <c r="H38" s="2" t="s">
        <v>248</v>
      </c>
      <c r="I38" s="2" t="s">
        <v>42</v>
      </c>
      <c r="J38" s="2" t="s">
        <v>43</v>
      </c>
      <c r="K38" s="2" t="s">
        <v>44</v>
      </c>
      <c r="L38" s="2" t="s">
        <v>45</v>
      </c>
      <c r="M38" s="2" t="s">
        <v>45</v>
      </c>
      <c r="N38" s="2" t="s">
        <v>900</v>
      </c>
      <c r="O38" s="2"/>
    </row>
    <row r="39" spans="1:15" ht="200.25">
      <c r="A39" s="2" t="s">
        <v>324</v>
      </c>
      <c r="B39" s="2" t="s">
        <v>325</v>
      </c>
      <c r="C39" s="2" t="s">
        <v>202</v>
      </c>
      <c r="D39" s="2" t="s">
        <v>110</v>
      </c>
      <c r="E39" s="2" t="s">
        <v>326</v>
      </c>
      <c r="F39" s="2" t="s">
        <v>327</v>
      </c>
      <c r="G39" s="2" t="s">
        <v>328</v>
      </c>
      <c r="H39" s="2" t="s">
        <v>264</v>
      </c>
      <c r="I39" s="2" t="s">
        <v>42</v>
      </c>
      <c r="J39" s="2" t="s">
        <v>35</v>
      </c>
      <c r="K39" s="2" t="s">
        <v>36</v>
      </c>
      <c r="L39" s="2" t="s">
        <v>45</v>
      </c>
      <c r="M39" s="2" t="s">
        <v>45</v>
      </c>
      <c r="N39" s="2" t="s">
        <v>900</v>
      </c>
      <c r="O39" s="2" t="s">
        <v>905</v>
      </c>
    </row>
    <row r="40" spans="1:15" ht="216.75">
      <c r="A40" s="2" t="s">
        <v>330</v>
      </c>
      <c r="B40" s="2" t="s">
        <v>331</v>
      </c>
      <c r="C40" s="2" t="s">
        <v>152</v>
      </c>
      <c r="D40" s="2" t="s">
        <v>267</v>
      </c>
      <c r="E40" s="2" t="s">
        <v>332</v>
      </c>
      <c r="F40" s="2" t="s">
        <v>333</v>
      </c>
      <c r="G40" s="2" t="s">
        <v>334</v>
      </c>
      <c r="H40" s="2" t="s">
        <v>264</v>
      </c>
      <c r="I40" s="2" t="s">
        <v>34</v>
      </c>
      <c r="J40" s="2"/>
      <c r="K40" s="2" t="s">
        <v>36</v>
      </c>
      <c r="L40" s="2" t="s">
        <v>45</v>
      </c>
      <c r="M40" s="2" t="s">
        <v>45</v>
      </c>
      <c r="N40" s="2" t="s">
        <v>900</v>
      </c>
      <c r="O40" s="2"/>
    </row>
    <row r="41" spans="1:15" ht="200.25">
      <c r="A41" s="2" t="s">
        <v>335</v>
      </c>
      <c r="B41" s="2" t="s">
        <v>336</v>
      </c>
      <c r="C41" s="2" t="s">
        <v>233</v>
      </c>
      <c r="D41" s="2" t="s">
        <v>168</v>
      </c>
      <c r="E41" s="2" t="s">
        <v>337</v>
      </c>
      <c r="F41" s="2" t="s">
        <v>338</v>
      </c>
      <c r="G41" s="2" t="s">
        <v>339</v>
      </c>
      <c r="H41" s="2" t="s">
        <v>242</v>
      </c>
      <c r="I41" s="2" t="s">
        <v>42</v>
      </c>
      <c r="J41" s="2" t="s">
        <v>35</v>
      </c>
      <c r="K41" s="2" t="s">
        <v>44</v>
      </c>
      <c r="L41" s="2" t="s">
        <v>45</v>
      </c>
      <c r="M41" s="2" t="s">
        <v>45</v>
      </c>
      <c r="N41" s="2" t="s">
        <v>900</v>
      </c>
      <c r="O41" s="2"/>
    </row>
    <row r="42" spans="1:15" ht="200.25">
      <c r="A42" s="2" t="s">
        <v>340</v>
      </c>
      <c r="B42" s="2" t="s">
        <v>341</v>
      </c>
      <c r="C42" s="2" t="s">
        <v>202</v>
      </c>
      <c r="D42" s="2" t="s">
        <v>168</v>
      </c>
      <c r="E42" s="2" t="s">
        <v>342</v>
      </c>
      <c r="F42" s="2" t="s">
        <v>343</v>
      </c>
      <c r="G42" s="2" t="s">
        <v>344</v>
      </c>
      <c r="H42" s="2" t="s">
        <v>242</v>
      </c>
      <c r="I42" s="2" t="s">
        <v>42</v>
      </c>
      <c r="J42" s="2" t="s">
        <v>35</v>
      </c>
      <c r="K42" s="2" t="s">
        <v>36</v>
      </c>
      <c r="L42" s="2" t="s">
        <v>45</v>
      </c>
      <c r="M42" s="2" t="s">
        <v>45</v>
      </c>
      <c r="N42" s="2" t="s">
        <v>900</v>
      </c>
      <c r="O42" s="2"/>
    </row>
    <row r="43" spans="1:15" ht="216.75">
      <c r="A43" s="2" t="s">
        <v>345</v>
      </c>
      <c r="B43" s="2" t="s">
        <v>346</v>
      </c>
      <c r="C43" s="2" t="s">
        <v>157</v>
      </c>
      <c r="D43" s="2" t="s">
        <v>267</v>
      </c>
      <c r="E43" s="2" t="s">
        <v>347</v>
      </c>
      <c r="F43" s="2" t="s">
        <v>348</v>
      </c>
      <c r="G43" s="2" t="s">
        <v>349</v>
      </c>
      <c r="H43" s="2" t="s">
        <v>350</v>
      </c>
      <c r="I43" s="2" t="s">
        <v>42</v>
      </c>
      <c r="J43" s="2" t="s">
        <v>43</v>
      </c>
      <c r="K43" s="2" t="s">
        <v>36</v>
      </c>
      <c r="L43" s="2" t="s">
        <v>45</v>
      </c>
      <c r="M43" s="2" t="s">
        <v>45</v>
      </c>
      <c r="N43" s="2" t="s">
        <v>900</v>
      </c>
      <c r="O43" s="2"/>
    </row>
    <row r="44" spans="1:15" ht="216.75">
      <c r="A44" s="2" t="s">
        <v>351</v>
      </c>
      <c r="B44" s="2" t="s">
        <v>352</v>
      </c>
      <c r="C44" s="2" t="s">
        <v>233</v>
      </c>
      <c r="D44" s="2" t="s">
        <v>168</v>
      </c>
      <c r="E44" s="2" t="s">
        <v>353</v>
      </c>
      <c r="F44" s="2" t="s">
        <v>354</v>
      </c>
      <c r="G44" s="2" t="s">
        <v>355</v>
      </c>
      <c r="H44" s="2" t="s">
        <v>356</v>
      </c>
      <c r="I44" s="2" t="s">
        <v>42</v>
      </c>
      <c r="J44" s="2" t="s">
        <v>35</v>
      </c>
      <c r="K44" s="2" t="s">
        <v>36</v>
      </c>
      <c r="L44" s="2" t="s">
        <v>45</v>
      </c>
      <c r="M44" s="2" t="s">
        <v>45</v>
      </c>
      <c r="N44" s="2" t="s">
        <v>900</v>
      </c>
      <c r="O44" s="2"/>
    </row>
    <row r="45" spans="1:15" ht="200.25">
      <c r="A45" s="2" t="s">
        <v>357</v>
      </c>
      <c r="B45" s="2" t="s">
        <v>358</v>
      </c>
      <c r="C45" s="2" t="s">
        <v>202</v>
      </c>
      <c r="D45" s="2" t="s">
        <v>110</v>
      </c>
      <c r="E45" s="2" t="s">
        <v>359</v>
      </c>
      <c r="F45" s="2" t="s">
        <v>360</v>
      </c>
      <c r="G45" s="2" t="s">
        <v>361</v>
      </c>
      <c r="H45" s="2" t="s">
        <v>242</v>
      </c>
      <c r="I45" s="2" t="s">
        <v>42</v>
      </c>
      <c r="J45" s="2" t="s">
        <v>35</v>
      </c>
      <c r="K45" s="2" t="s">
        <v>36</v>
      </c>
      <c r="L45" s="2" t="s">
        <v>45</v>
      </c>
      <c r="M45" s="2" t="s">
        <v>45</v>
      </c>
      <c r="N45" s="2" t="s">
        <v>900</v>
      </c>
      <c r="O45" s="2"/>
    </row>
    <row r="46" spans="1:15" ht="200.25">
      <c r="A46" s="2" t="s">
        <v>362</v>
      </c>
      <c r="B46" s="2" t="s">
        <v>363</v>
      </c>
      <c r="C46" s="2" t="s">
        <v>190</v>
      </c>
      <c r="D46" s="2" t="s">
        <v>168</v>
      </c>
      <c r="E46" s="2" t="s">
        <v>364</v>
      </c>
      <c r="F46" s="2" t="s">
        <v>365</v>
      </c>
      <c r="G46" s="2" t="s">
        <v>366</v>
      </c>
      <c r="H46" s="2" t="s">
        <v>131</v>
      </c>
      <c r="I46" s="2" t="s">
        <v>34</v>
      </c>
      <c r="J46" s="2" t="s">
        <v>73</v>
      </c>
      <c r="K46" s="2" t="s">
        <v>36</v>
      </c>
      <c r="L46" s="2" t="s">
        <v>45</v>
      </c>
      <c r="M46" s="2" t="s">
        <v>45</v>
      </c>
      <c r="N46" s="2" t="s">
        <v>900</v>
      </c>
      <c r="O46" s="2"/>
    </row>
    <row r="47" spans="1:15" ht="200.25">
      <c r="A47" s="2" t="s">
        <v>367</v>
      </c>
      <c r="B47" s="2" t="s">
        <v>368</v>
      </c>
      <c r="C47" s="2" t="s">
        <v>157</v>
      </c>
      <c r="D47" s="2" t="s">
        <v>168</v>
      </c>
      <c r="E47" s="2" t="s">
        <v>369</v>
      </c>
      <c r="F47" s="2" t="s">
        <v>370</v>
      </c>
      <c r="G47" s="2" t="s">
        <v>371</v>
      </c>
      <c r="H47" s="2" t="s">
        <v>372</v>
      </c>
      <c r="I47" s="2" t="s">
        <v>42</v>
      </c>
      <c r="J47" s="2" t="s">
        <v>35</v>
      </c>
      <c r="K47" s="2" t="s">
        <v>36</v>
      </c>
      <c r="L47" s="2" t="s">
        <v>45</v>
      </c>
      <c r="M47" s="2" t="s">
        <v>45</v>
      </c>
      <c r="N47" s="2" t="s">
        <v>900</v>
      </c>
      <c r="O47" s="2"/>
    </row>
    <row r="48" spans="1:15" ht="200.25">
      <c r="A48" s="2" t="s">
        <v>373</v>
      </c>
      <c r="B48" s="2" t="s">
        <v>374</v>
      </c>
      <c r="C48" s="2" t="s">
        <v>233</v>
      </c>
      <c r="D48" s="2" t="s">
        <v>168</v>
      </c>
      <c r="E48" s="2" t="s">
        <v>375</v>
      </c>
      <c r="F48" s="2" t="s">
        <v>376</v>
      </c>
      <c r="G48" s="2" t="s">
        <v>377</v>
      </c>
      <c r="H48" s="2" t="s">
        <v>378</v>
      </c>
      <c r="I48" s="2" t="s">
        <v>42</v>
      </c>
      <c r="J48" s="2" t="s">
        <v>43</v>
      </c>
      <c r="K48" s="2" t="s">
        <v>36</v>
      </c>
      <c r="L48" s="2" t="s">
        <v>45</v>
      </c>
      <c r="M48" s="2" t="s">
        <v>45</v>
      </c>
      <c r="N48" s="2" t="s">
        <v>900</v>
      </c>
      <c r="O48" s="2"/>
    </row>
    <row r="49" spans="1:15" ht="200.25">
      <c r="A49" s="2" t="s">
        <v>379</v>
      </c>
      <c r="B49" s="2" t="s">
        <v>380</v>
      </c>
      <c r="C49" s="2" t="s">
        <v>233</v>
      </c>
      <c r="D49" s="2" t="s">
        <v>168</v>
      </c>
      <c r="E49" s="2" t="s">
        <v>381</v>
      </c>
      <c r="F49" s="2" t="s">
        <v>382</v>
      </c>
      <c r="G49" s="2" t="s">
        <v>383</v>
      </c>
      <c r="H49" s="2" t="s">
        <v>242</v>
      </c>
      <c r="I49" s="2" t="s">
        <v>42</v>
      </c>
      <c r="J49" s="2" t="s">
        <v>35</v>
      </c>
      <c r="K49" s="2" t="s">
        <v>36</v>
      </c>
      <c r="L49" s="2" t="s">
        <v>45</v>
      </c>
      <c r="M49" s="2" t="s">
        <v>45</v>
      </c>
      <c r="N49" s="2" t="s">
        <v>900</v>
      </c>
      <c r="O49" s="2" t="s">
        <v>902</v>
      </c>
    </row>
    <row r="50" spans="1:15" ht="200.25">
      <c r="A50" s="2" t="s">
        <v>384</v>
      </c>
      <c r="B50" s="2" t="s">
        <v>385</v>
      </c>
      <c r="C50" s="2" t="s">
        <v>202</v>
      </c>
      <c r="D50" s="2" t="s">
        <v>191</v>
      </c>
      <c r="E50" s="2" t="s">
        <v>386</v>
      </c>
      <c r="F50" s="2" t="s">
        <v>387</v>
      </c>
      <c r="G50" s="2" t="s">
        <v>388</v>
      </c>
      <c r="H50" s="2" t="s">
        <v>389</v>
      </c>
      <c r="I50" s="2" t="s">
        <v>42</v>
      </c>
      <c r="J50" s="2" t="s">
        <v>35</v>
      </c>
      <c r="K50" s="2" t="s">
        <v>44</v>
      </c>
      <c r="L50" s="2" t="s">
        <v>45</v>
      </c>
      <c r="M50" s="2" t="s">
        <v>45</v>
      </c>
      <c r="N50" s="2" t="s">
        <v>900</v>
      </c>
      <c r="O50" s="2"/>
    </row>
    <row r="51" spans="1:15" ht="200.25">
      <c r="A51" s="2" t="s">
        <v>390</v>
      </c>
      <c r="B51" s="2" t="s">
        <v>391</v>
      </c>
      <c r="C51" s="2" t="s">
        <v>190</v>
      </c>
      <c r="D51" s="2" t="s">
        <v>110</v>
      </c>
      <c r="E51" s="2" t="s">
        <v>392</v>
      </c>
      <c r="F51" s="2" t="s">
        <v>393</v>
      </c>
      <c r="G51" s="2" t="s">
        <v>394</v>
      </c>
      <c r="H51" s="2" t="s">
        <v>242</v>
      </c>
      <c r="I51" s="2" t="s">
        <v>42</v>
      </c>
      <c r="J51" s="2" t="s">
        <v>35</v>
      </c>
      <c r="K51" s="2" t="s">
        <v>36</v>
      </c>
      <c r="L51" s="2" t="s">
        <v>45</v>
      </c>
      <c r="M51" s="2" t="s">
        <v>45</v>
      </c>
      <c r="N51" s="2" t="s">
        <v>900</v>
      </c>
      <c r="O51" s="2"/>
    </row>
    <row r="52" spans="1:15" ht="200.25">
      <c r="A52" s="2" t="s">
        <v>395</v>
      </c>
      <c r="B52" s="2" t="s">
        <v>396</v>
      </c>
      <c r="C52" s="2" t="s">
        <v>233</v>
      </c>
      <c r="D52" s="2" t="s">
        <v>168</v>
      </c>
      <c r="E52" s="2" t="s">
        <v>397</v>
      </c>
      <c r="F52" s="2" t="s">
        <v>398</v>
      </c>
      <c r="G52" s="2" t="s">
        <v>399</v>
      </c>
      <c r="H52" s="2" t="s">
        <v>248</v>
      </c>
      <c r="I52" s="2" t="s">
        <v>42</v>
      </c>
      <c r="J52" s="2" t="s">
        <v>43</v>
      </c>
      <c r="K52" s="2" t="s">
        <v>36</v>
      </c>
      <c r="L52" s="2" t="s">
        <v>45</v>
      </c>
      <c r="M52" s="2" t="s">
        <v>45</v>
      </c>
      <c r="N52" s="2" t="s">
        <v>900</v>
      </c>
      <c r="O52" s="2"/>
    </row>
    <row r="53" spans="1:15" ht="200.25">
      <c r="A53" s="2" t="s">
        <v>400</v>
      </c>
      <c r="B53" s="2" t="s">
        <v>401</v>
      </c>
      <c r="C53" s="2" t="s">
        <v>190</v>
      </c>
      <c r="D53" s="2" t="s">
        <v>267</v>
      </c>
      <c r="E53" s="2" t="s">
        <v>402</v>
      </c>
      <c r="F53" s="2" t="s">
        <v>403</v>
      </c>
      <c r="G53" s="2" t="s">
        <v>404</v>
      </c>
      <c r="H53" s="2" t="s">
        <v>405</v>
      </c>
      <c r="I53" s="2" t="s">
        <v>34</v>
      </c>
      <c r="J53" s="2"/>
      <c r="K53" s="2" t="s">
        <v>36</v>
      </c>
      <c r="L53" s="2" t="s">
        <v>45</v>
      </c>
      <c r="M53" s="2" t="s">
        <v>45</v>
      </c>
      <c r="N53" s="2" t="s">
        <v>900</v>
      </c>
      <c r="O53" s="2"/>
    </row>
    <row r="54" spans="1:15" ht="200.25">
      <c r="A54" s="2" t="s">
        <v>406</v>
      </c>
      <c r="B54" s="2" t="s">
        <v>407</v>
      </c>
      <c r="C54" s="2" t="s">
        <v>202</v>
      </c>
      <c r="D54" s="2" t="s">
        <v>110</v>
      </c>
      <c r="E54" s="2" t="s">
        <v>408</v>
      </c>
      <c r="F54" s="2" t="s">
        <v>409</v>
      </c>
      <c r="G54" s="2" t="s">
        <v>410</v>
      </c>
      <c r="H54" s="2" t="s">
        <v>242</v>
      </c>
      <c r="I54" s="2" t="s">
        <v>42</v>
      </c>
      <c r="J54" s="2" t="s">
        <v>35</v>
      </c>
      <c r="K54" s="2" t="s">
        <v>36</v>
      </c>
      <c r="L54" s="2" t="s">
        <v>45</v>
      </c>
      <c r="M54" s="2" t="s">
        <v>45</v>
      </c>
      <c r="N54" s="2" t="s">
        <v>900</v>
      </c>
      <c r="O54" s="2"/>
    </row>
    <row r="55" spans="1:15" ht="200.25">
      <c r="A55" s="2" t="s">
        <v>411</v>
      </c>
      <c r="B55" s="2" t="s">
        <v>412</v>
      </c>
      <c r="C55" s="2" t="s">
        <v>233</v>
      </c>
      <c r="D55" s="2" t="s">
        <v>104</v>
      </c>
      <c r="E55" s="2" t="s">
        <v>413</v>
      </c>
      <c r="F55" s="2" t="s">
        <v>414</v>
      </c>
      <c r="G55" s="2" t="s">
        <v>415</v>
      </c>
      <c r="H55" s="2" t="s">
        <v>248</v>
      </c>
      <c r="I55" s="2" t="s">
        <v>42</v>
      </c>
      <c r="J55" s="2" t="s">
        <v>35</v>
      </c>
      <c r="K55" s="2" t="s">
        <v>36</v>
      </c>
      <c r="L55" s="2"/>
      <c r="M55" s="2" t="s">
        <v>45</v>
      </c>
      <c r="N55" s="2" t="s">
        <v>900</v>
      </c>
      <c r="O55" s="2" t="s">
        <v>906</v>
      </c>
    </row>
    <row r="56" spans="1:15" ht="183.75">
      <c r="A56" s="2" t="s">
        <v>416</v>
      </c>
      <c r="B56" s="2" t="s">
        <v>417</v>
      </c>
      <c r="C56" s="2" t="s">
        <v>190</v>
      </c>
      <c r="D56" s="2" t="s">
        <v>104</v>
      </c>
      <c r="E56" s="2" t="s">
        <v>418</v>
      </c>
      <c r="F56" s="2" t="s">
        <v>419</v>
      </c>
      <c r="G56" s="2" t="s">
        <v>420</v>
      </c>
      <c r="H56" s="2" t="s">
        <v>248</v>
      </c>
      <c r="I56" s="2" t="s">
        <v>42</v>
      </c>
      <c r="J56" s="2" t="s">
        <v>43</v>
      </c>
      <c r="K56" s="2" t="s">
        <v>44</v>
      </c>
      <c r="L56" s="2" t="s">
        <v>45</v>
      </c>
      <c r="M56" s="2" t="s">
        <v>45</v>
      </c>
      <c r="N56" s="2" t="s">
        <v>900</v>
      </c>
      <c r="O56" s="2"/>
    </row>
    <row r="57" spans="1:15" ht="216.75">
      <c r="A57" s="2" t="s">
        <v>421</v>
      </c>
      <c r="B57" s="2" t="s">
        <v>422</v>
      </c>
      <c r="C57" s="2" t="s">
        <v>157</v>
      </c>
      <c r="D57" s="2" t="s">
        <v>110</v>
      </c>
      <c r="E57" s="2" t="s">
        <v>423</v>
      </c>
      <c r="F57" s="2" t="s">
        <v>424</v>
      </c>
      <c r="G57" s="2" t="s">
        <v>425</v>
      </c>
      <c r="H57" s="2" t="s">
        <v>426</v>
      </c>
      <c r="I57" s="2" t="s">
        <v>42</v>
      </c>
      <c r="J57" s="2" t="s">
        <v>35</v>
      </c>
      <c r="K57" s="2" t="s">
        <v>36</v>
      </c>
      <c r="L57" s="2" t="s">
        <v>45</v>
      </c>
      <c r="M57" s="2" t="s">
        <v>45</v>
      </c>
      <c r="N57" s="2" t="s">
        <v>900</v>
      </c>
      <c r="O57" s="2"/>
    </row>
    <row r="58" spans="1:15" ht="200.25">
      <c r="A58" s="2" t="s">
        <v>427</v>
      </c>
      <c r="B58" s="2" t="s">
        <v>428</v>
      </c>
      <c r="C58" s="2" t="s">
        <v>141</v>
      </c>
      <c r="D58" s="2" t="s">
        <v>300</v>
      </c>
      <c r="E58" s="2" t="s">
        <v>429</v>
      </c>
      <c r="F58" s="2" t="s">
        <v>430</v>
      </c>
      <c r="G58" s="2" t="s">
        <v>431</v>
      </c>
      <c r="H58" s="2" t="s">
        <v>432</v>
      </c>
      <c r="I58" s="2" t="s">
        <v>42</v>
      </c>
      <c r="J58" s="2" t="s">
        <v>907</v>
      </c>
      <c r="K58" s="2" t="s">
        <v>36</v>
      </c>
      <c r="L58" s="2"/>
      <c r="M58" s="2" t="s">
        <v>45</v>
      </c>
      <c r="N58" s="2" t="s">
        <v>900</v>
      </c>
      <c r="O58" s="2"/>
    </row>
    <row r="59" spans="1:15" ht="200.25">
      <c r="A59" s="2" t="s">
        <v>433</v>
      </c>
      <c r="B59" s="2" t="s">
        <v>434</v>
      </c>
      <c r="C59" s="2" t="s">
        <v>157</v>
      </c>
      <c r="D59" s="2" t="s">
        <v>191</v>
      </c>
      <c r="E59" s="2" t="s">
        <v>435</v>
      </c>
      <c r="F59" s="2" t="s">
        <v>436</v>
      </c>
      <c r="G59" s="2" t="s">
        <v>437</v>
      </c>
      <c r="H59" s="2" t="s">
        <v>248</v>
      </c>
      <c r="I59" s="2" t="s">
        <v>42</v>
      </c>
      <c r="J59" s="2" t="s">
        <v>43</v>
      </c>
      <c r="K59" s="2" t="s">
        <v>36</v>
      </c>
      <c r="L59" s="2" t="s">
        <v>45</v>
      </c>
      <c r="M59" s="2" t="s">
        <v>45</v>
      </c>
      <c r="N59" s="2" t="s">
        <v>900</v>
      </c>
      <c r="O59" s="2" t="s">
        <v>908</v>
      </c>
    </row>
    <row r="60" spans="1:15" ht="200.25">
      <c r="A60" s="2" t="s">
        <v>438</v>
      </c>
      <c r="B60" s="2" t="s">
        <v>439</v>
      </c>
      <c r="C60" s="2" t="s">
        <v>202</v>
      </c>
      <c r="D60" s="2" t="s">
        <v>300</v>
      </c>
      <c r="E60" s="2" t="s">
        <v>440</v>
      </c>
      <c r="F60" s="2" t="s">
        <v>441</v>
      </c>
      <c r="G60" s="2" t="s">
        <v>442</v>
      </c>
      <c r="H60" s="2" t="s">
        <v>264</v>
      </c>
      <c r="I60" s="2" t="s">
        <v>34</v>
      </c>
      <c r="J60" s="2"/>
      <c r="K60" s="2" t="s">
        <v>36</v>
      </c>
      <c r="L60" s="2" t="s">
        <v>45</v>
      </c>
      <c r="M60" s="2" t="s">
        <v>45</v>
      </c>
      <c r="N60" s="2" t="s">
        <v>900</v>
      </c>
      <c r="O60" s="2"/>
    </row>
    <row r="61" spans="1:15" ht="168">
      <c r="A61" s="2" t="s">
        <v>443</v>
      </c>
      <c r="B61" s="2" t="s">
        <v>444</v>
      </c>
      <c r="C61" s="2" t="s">
        <v>152</v>
      </c>
      <c r="D61" s="2" t="s">
        <v>104</v>
      </c>
      <c r="E61" s="2" t="s">
        <v>445</v>
      </c>
      <c r="F61" s="2" t="s">
        <v>446</v>
      </c>
      <c r="G61" s="2" t="s">
        <v>447</v>
      </c>
      <c r="H61" s="2" t="s">
        <v>131</v>
      </c>
      <c r="I61" s="2" t="s">
        <v>42</v>
      </c>
      <c r="J61" s="2" t="s">
        <v>73</v>
      </c>
      <c r="K61" s="2" t="s">
        <v>36</v>
      </c>
      <c r="L61" s="2"/>
      <c r="M61" s="2" t="s">
        <v>45</v>
      </c>
      <c r="N61" s="2" t="s">
        <v>900</v>
      </c>
      <c r="O61" s="2"/>
    </row>
    <row r="62" spans="1:15" ht="200.25">
      <c r="A62" s="2" t="s">
        <v>448</v>
      </c>
      <c r="B62" s="2" t="s">
        <v>449</v>
      </c>
      <c r="C62" s="2" t="s">
        <v>190</v>
      </c>
      <c r="D62" s="2" t="s">
        <v>191</v>
      </c>
      <c r="E62" s="2" t="s">
        <v>450</v>
      </c>
      <c r="F62" s="2" t="s">
        <v>451</v>
      </c>
      <c r="G62" s="2" t="s">
        <v>452</v>
      </c>
      <c r="H62" s="2" t="s">
        <v>248</v>
      </c>
      <c r="I62" s="2" t="s">
        <v>34</v>
      </c>
      <c r="J62" s="2"/>
      <c r="K62" s="2" t="s">
        <v>44</v>
      </c>
      <c r="L62" s="2"/>
      <c r="M62" s="2" t="s">
        <v>45</v>
      </c>
      <c r="N62" s="2" t="s">
        <v>900</v>
      </c>
      <c r="O62" s="2"/>
    </row>
    <row r="63" spans="1:15" ht="200.25">
      <c r="A63" s="2" t="s">
        <v>453</v>
      </c>
      <c r="B63" s="2" t="s">
        <v>454</v>
      </c>
      <c r="C63" s="2" t="s">
        <v>233</v>
      </c>
      <c r="D63" s="2" t="s">
        <v>168</v>
      </c>
      <c r="E63" s="2" t="s">
        <v>455</v>
      </c>
      <c r="F63" s="2" t="s">
        <v>456</v>
      </c>
      <c r="G63" s="2" t="s">
        <v>457</v>
      </c>
      <c r="H63" s="2" t="s">
        <v>242</v>
      </c>
      <c r="I63" s="2" t="s">
        <v>42</v>
      </c>
      <c r="J63" s="2" t="s">
        <v>35</v>
      </c>
      <c r="K63" s="2" t="s">
        <v>44</v>
      </c>
      <c r="L63" s="2" t="s">
        <v>45</v>
      </c>
      <c r="M63" s="2" t="s">
        <v>45</v>
      </c>
      <c r="N63" s="2" t="s">
        <v>900</v>
      </c>
      <c r="O63" s="2"/>
    </row>
    <row r="64" spans="1:15" ht="200.25">
      <c r="A64" s="2" t="s">
        <v>458</v>
      </c>
      <c r="B64" s="2" t="s">
        <v>459</v>
      </c>
      <c r="C64" s="2" t="s">
        <v>167</v>
      </c>
      <c r="D64" s="2" t="s">
        <v>104</v>
      </c>
      <c r="E64" s="2" t="s">
        <v>460</v>
      </c>
      <c r="F64" s="2" t="s">
        <v>461</v>
      </c>
      <c r="G64" s="2" t="s">
        <v>462</v>
      </c>
      <c r="H64" s="2" t="s">
        <v>248</v>
      </c>
      <c r="I64" s="2" t="s">
        <v>42</v>
      </c>
      <c r="J64" s="2" t="s">
        <v>43</v>
      </c>
      <c r="K64" s="2" t="s">
        <v>36</v>
      </c>
      <c r="L64" s="2" t="s">
        <v>45</v>
      </c>
      <c r="M64" s="2" t="s">
        <v>45</v>
      </c>
      <c r="N64" s="2" t="s">
        <v>900</v>
      </c>
      <c r="O64" s="2" t="s">
        <v>909</v>
      </c>
    </row>
    <row r="65" spans="1:16" ht="200.25">
      <c r="A65" s="2" t="s">
        <v>463</v>
      </c>
      <c r="B65" s="2" t="s">
        <v>464</v>
      </c>
      <c r="C65" s="2" t="s">
        <v>157</v>
      </c>
      <c r="D65" s="2" t="s">
        <v>110</v>
      </c>
      <c r="E65" s="2" t="s">
        <v>465</v>
      </c>
      <c r="F65" s="2" t="s">
        <v>466</v>
      </c>
      <c r="G65" s="2" t="s">
        <v>467</v>
      </c>
      <c r="H65" s="2" t="s">
        <v>468</v>
      </c>
      <c r="I65" s="2" t="s">
        <v>42</v>
      </c>
      <c r="J65" s="2" t="s">
        <v>43</v>
      </c>
      <c r="K65" s="2" t="s">
        <v>36</v>
      </c>
      <c r="L65" s="2"/>
      <c r="M65" s="2" t="s">
        <v>45</v>
      </c>
      <c r="N65" s="2" t="s">
        <v>900</v>
      </c>
      <c r="O65" s="2" t="s">
        <v>910</v>
      </c>
    </row>
    <row r="66" spans="1:16" ht="200.25">
      <c r="A66" s="2" t="s">
        <v>470</v>
      </c>
      <c r="B66" s="2" t="s">
        <v>471</v>
      </c>
      <c r="C66" s="2" t="s">
        <v>233</v>
      </c>
      <c r="D66" s="2" t="s">
        <v>168</v>
      </c>
      <c r="E66" s="2" t="s">
        <v>472</v>
      </c>
      <c r="F66" s="2" t="s">
        <v>473</v>
      </c>
      <c r="G66" s="2" t="s">
        <v>474</v>
      </c>
      <c r="H66" s="2" t="s">
        <v>475</v>
      </c>
      <c r="I66" s="2" t="s">
        <v>42</v>
      </c>
      <c r="J66" s="2" t="s">
        <v>43</v>
      </c>
      <c r="K66" s="2" t="s">
        <v>36</v>
      </c>
      <c r="L66" s="2"/>
      <c r="M66" s="2" t="s">
        <v>45</v>
      </c>
      <c r="N66" s="2" t="s">
        <v>900</v>
      </c>
      <c r="O66" s="2" t="s">
        <v>911</v>
      </c>
    </row>
    <row r="67" spans="1:16" ht="200.25">
      <c r="A67" s="2" t="s">
        <v>476</v>
      </c>
      <c r="B67" s="2" t="s">
        <v>477</v>
      </c>
      <c r="C67" s="2" t="s">
        <v>233</v>
      </c>
      <c r="D67" s="2" t="s">
        <v>168</v>
      </c>
      <c r="E67" s="2" t="s">
        <v>478</v>
      </c>
      <c r="F67" s="2" t="s">
        <v>479</v>
      </c>
      <c r="G67" s="2" t="s">
        <v>480</v>
      </c>
      <c r="H67" s="2" t="s">
        <v>378</v>
      </c>
      <c r="I67" s="2" t="s">
        <v>42</v>
      </c>
      <c r="J67" s="2" t="s">
        <v>43</v>
      </c>
      <c r="K67" s="2" t="s">
        <v>44</v>
      </c>
      <c r="L67" s="2" t="s">
        <v>45</v>
      </c>
      <c r="M67" s="2" t="s">
        <v>45</v>
      </c>
      <c r="N67" s="2" t="s">
        <v>900</v>
      </c>
      <c r="O67" s="2"/>
    </row>
    <row r="68" spans="1:16" ht="216.75">
      <c r="A68" s="2" t="s">
        <v>481</v>
      </c>
      <c r="B68" s="2" t="s">
        <v>482</v>
      </c>
      <c r="C68" s="2" t="s">
        <v>233</v>
      </c>
      <c r="D68" s="2" t="s">
        <v>191</v>
      </c>
      <c r="E68" s="2" t="s">
        <v>483</v>
      </c>
      <c r="F68" s="2" t="s">
        <v>484</v>
      </c>
      <c r="G68" s="2" t="s">
        <v>485</v>
      </c>
      <c r="H68" s="2" t="s">
        <v>248</v>
      </c>
      <c r="I68" s="2" t="s">
        <v>42</v>
      </c>
      <c r="J68" s="2" t="s">
        <v>43</v>
      </c>
      <c r="K68" s="2" t="s">
        <v>36</v>
      </c>
      <c r="L68" s="2" t="s">
        <v>45</v>
      </c>
      <c r="M68" s="2" t="s">
        <v>45</v>
      </c>
      <c r="N68" s="2" t="s">
        <v>900</v>
      </c>
      <c r="O68" s="2" t="s">
        <v>908</v>
      </c>
    </row>
    <row r="69" spans="1:16" ht="200.25">
      <c r="A69" s="2" t="s">
        <v>486</v>
      </c>
      <c r="B69" s="2" t="s">
        <v>487</v>
      </c>
      <c r="C69" s="2" t="s">
        <v>167</v>
      </c>
      <c r="D69" s="2" t="s">
        <v>168</v>
      </c>
      <c r="E69" s="2" t="s">
        <v>488</v>
      </c>
      <c r="F69" s="2" t="s">
        <v>489</v>
      </c>
      <c r="G69" s="2" t="s">
        <v>490</v>
      </c>
      <c r="H69" s="2" t="s">
        <v>491</v>
      </c>
      <c r="I69" s="2" t="s">
        <v>42</v>
      </c>
      <c r="J69" s="2" t="s">
        <v>43</v>
      </c>
      <c r="K69" s="2" t="s">
        <v>36</v>
      </c>
      <c r="L69" s="2" t="s">
        <v>45</v>
      </c>
      <c r="M69" s="2" t="s">
        <v>45</v>
      </c>
      <c r="N69" s="2" t="s">
        <v>900</v>
      </c>
      <c r="O69" s="2" t="s">
        <v>909</v>
      </c>
    </row>
    <row r="70" spans="1:16" ht="200.25">
      <c r="A70" s="2" t="s">
        <v>492</v>
      </c>
      <c r="B70" s="2" t="s">
        <v>493</v>
      </c>
      <c r="C70" s="2" t="s">
        <v>233</v>
      </c>
      <c r="D70" s="2" t="s">
        <v>267</v>
      </c>
      <c r="E70" s="2" t="s">
        <v>494</v>
      </c>
      <c r="F70" s="2" t="s">
        <v>495</v>
      </c>
      <c r="G70" s="2" t="s">
        <v>496</v>
      </c>
      <c r="H70" s="2" t="s">
        <v>264</v>
      </c>
      <c r="I70" s="2" t="s">
        <v>34</v>
      </c>
      <c r="J70" s="2"/>
      <c r="K70" s="2" t="s">
        <v>36</v>
      </c>
      <c r="L70" s="2" t="s">
        <v>45</v>
      </c>
      <c r="M70" s="2" t="s">
        <v>45</v>
      </c>
      <c r="N70" s="2" t="s">
        <v>900</v>
      </c>
      <c r="O70" s="2"/>
    </row>
    <row r="71" spans="1:16" ht="200.25">
      <c r="A71" s="2" t="s">
        <v>497</v>
      </c>
      <c r="B71" s="2" t="s">
        <v>498</v>
      </c>
      <c r="C71" s="2" t="s">
        <v>202</v>
      </c>
      <c r="D71" s="2" t="s">
        <v>168</v>
      </c>
      <c r="E71" s="2" t="s">
        <v>499</v>
      </c>
      <c r="F71" s="2" t="s">
        <v>500</v>
      </c>
      <c r="G71" s="2" t="s">
        <v>501</v>
      </c>
      <c r="H71" s="2" t="s">
        <v>502</v>
      </c>
      <c r="I71" s="2" t="s">
        <v>42</v>
      </c>
      <c r="J71" s="2" t="s">
        <v>35</v>
      </c>
      <c r="K71" s="2" t="s">
        <v>36</v>
      </c>
      <c r="L71" s="2" t="s">
        <v>45</v>
      </c>
      <c r="M71" s="2" t="s">
        <v>45</v>
      </c>
      <c r="N71" s="2" t="s">
        <v>900</v>
      </c>
      <c r="O71" s="2"/>
    </row>
    <row r="72" spans="1:16" ht="200.25">
      <c r="A72" s="2" t="s">
        <v>503</v>
      </c>
      <c r="B72" s="2" t="s">
        <v>504</v>
      </c>
      <c r="C72" s="2" t="s">
        <v>202</v>
      </c>
      <c r="D72" s="2" t="s">
        <v>110</v>
      </c>
      <c r="E72" s="2" t="s">
        <v>505</v>
      </c>
      <c r="F72" s="2" t="s">
        <v>506</v>
      </c>
      <c r="G72" s="2" t="s">
        <v>507</v>
      </c>
      <c r="H72" s="2" t="s">
        <v>264</v>
      </c>
      <c r="I72" s="2" t="s">
        <v>34</v>
      </c>
      <c r="J72" s="2"/>
      <c r="K72" s="2" t="s">
        <v>36</v>
      </c>
      <c r="L72" s="2" t="s">
        <v>45</v>
      </c>
      <c r="M72" s="2" t="s">
        <v>45</v>
      </c>
      <c r="N72" s="2" t="s">
        <v>900</v>
      </c>
      <c r="O72" s="2" t="s">
        <v>912</v>
      </c>
    </row>
    <row r="73" spans="1:16" ht="200.25">
      <c r="A73" s="2" t="s">
        <v>509</v>
      </c>
      <c r="B73" s="2" t="s">
        <v>510</v>
      </c>
      <c r="C73" s="2" t="s">
        <v>167</v>
      </c>
      <c r="D73" s="2" t="s">
        <v>168</v>
      </c>
      <c r="E73" s="2" t="s">
        <v>511</v>
      </c>
      <c r="F73" s="2" t="s">
        <v>512</v>
      </c>
      <c r="G73" s="2" t="s">
        <v>513</v>
      </c>
      <c r="H73" s="2" t="s">
        <v>248</v>
      </c>
      <c r="I73" s="2" t="s">
        <v>42</v>
      </c>
      <c r="J73" s="2" t="s">
        <v>43</v>
      </c>
      <c r="K73" s="2" t="s">
        <v>44</v>
      </c>
      <c r="L73" s="2"/>
      <c r="M73" s="2" t="s">
        <v>45</v>
      </c>
      <c r="N73" s="2" t="s">
        <v>900</v>
      </c>
      <c r="O73" s="2"/>
    </row>
    <row r="74" spans="1:16" ht="409.6">
      <c r="A74" s="2" t="s">
        <v>514</v>
      </c>
      <c r="B74" s="2" t="s">
        <v>515</v>
      </c>
      <c r="C74" s="2" t="s">
        <v>167</v>
      </c>
      <c r="D74" s="2" t="s">
        <v>104</v>
      </c>
      <c r="E74" s="2" t="s">
        <v>516</v>
      </c>
      <c r="F74" s="2" t="s">
        <v>517</v>
      </c>
      <c r="G74" s="2" t="s">
        <v>518</v>
      </c>
      <c r="H74" s="2" t="s">
        <v>405</v>
      </c>
      <c r="I74" s="2" t="s">
        <v>50</v>
      </c>
      <c r="J74" s="8" t="s">
        <v>35</v>
      </c>
      <c r="K74" s="2" t="s">
        <v>36</v>
      </c>
      <c r="L74" s="2" t="s">
        <v>37</v>
      </c>
      <c r="M74" s="2" t="s">
        <v>37</v>
      </c>
      <c r="N74" s="2" t="s">
        <v>900</v>
      </c>
      <c r="O74" s="11" t="s">
        <v>913</v>
      </c>
      <c r="P74" s="12" t="s">
        <v>914</v>
      </c>
    </row>
    <row r="75" spans="1:16" ht="200.25">
      <c r="A75" s="2" t="s">
        <v>519</v>
      </c>
      <c r="B75" s="2" t="s">
        <v>520</v>
      </c>
      <c r="C75" s="2" t="s">
        <v>202</v>
      </c>
      <c r="D75" s="2" t="s">
        <v>191</v>
      </c>
      <c r="E75" s="2" t="s">
        <v>521</v>
      </c>
      <c r="F75" s="2" t="s">
        <v>522</v>
      </c>
      <c r="G75" s="2" t="s">
        <v>523</v>
      </c>
      <c r="H75" s="2" t="s">
        <v>248</v>
      </c>
      <c r="I75" s="2" t="s">
        <v>42</v>
      </c>
      <c r="J75" s="2" t="s">
        <v>43</v>
      </c>
      <c r="K75" s="2" t="s">
        <v>36</v>
      </c>
      <c r="L75" s="2" t="s">
        <v>45</v>
      </c>
      <c r="M75" s="2" t="s">
        <v>45</v>
      </c>
      <c r="N75" s="2" t="s">
        <v>900</v>
      </c>
      <c r="O75" s="2"/>
    </row>
    <row r="76" spans="1:16" ht="84">
      <c r="A76" s="2" t="s">
        <v>524</v>
      </c>
      <c r="B76" s="2" t="s">
        <v>525</v>
      </c>
      <c r="C76" s="2" t="s">
        <v>190</v>
      </c>
      <c r="D76" s="2" t="s">
        <v>168</v>
      </c>
      <c r="E76" s="2" t="s">
        <v>526</v>
      </c>
      <c r="F76" s="2" t="s">
        <v>527</v>
      </c>
      <c r="G76" s="2" t="s">
        <v>528</v>
      </c>
      <c r="H76" s="2" t="s">
        <v>372</v>
      </c>
      <c r="I76" s="2" t="s">
        <v>42</v>
      </c>
      <c r="J76" s="2" t="s">
        <v>35</v>
      </c>
      <c r="K76" s="2" t="s">
        <v>44</v>
      </c>
      <c r="L76" s="2" t="s">
        <v>45</v>
      </c>
      <c r="M76" s="2" t="s">
        <v>45</v>
      </c>
      <c r="N76" s="2" t="s">
        <v>900</v>
      </c>
      <c r="O76" s="2"/>
    </row>
    <row r="77" spans="1:16" ht="200.25">
      <c r="A77" s="2" t="s">
        <v>529</v>
      </c>
      <c r="B77" s="2" t="s">
        <v>530</v>
      </c>
      <c r="C77" s="2" t="s">
        <v>202</v>
      </c>
      <c r="D77" s="2" t="s">
        <v>300</v>
      </c>
      <c r="E77" s="2" t="s">
        <v>531</v>
      </c>
      <c r="F77" s="2" t="s">
        <v>532</v>
      </c>
      <c r="G77" s="2" t="s">
        <v>533</v>
      </c>
      <c r="H77" s="2" t="s">
        <v>264</v>
      </c>
      <c r="I77" s="2" t="s">
        <v>34</v>
      </c>
      <c r="J77" s="2"/>
      <c r="K77" s="2" t="s">
        <v>36</v>
      </c>
      <c r="L77" s="2"/>
      <c r="M77" s="2" t="s">
        <v>45</v>
      </c>
      <c r="N77" s="2" t="s">
        <v>900</v>
      </c>
      <c r="O77" s="2"/>
    </row>
    <row r="78" spans="1:16" ht="200.25">
      <c r="A78" s="2" t="s">
        <v>534</v>
      </c>
      <c r="B78" s="2" t="s">
        <v>535</v>
      </c>
      <c r="C78" s="2" t="s">
        <v>157</v>
      </c>
      <c r="D78" s="2" t="s">
        <v>191</v>
      </c>
      <c r="E78" s="2" t="s">
        <v>536</v>
      </c>
      <c r="F78" s="2" t="s">
        <v>537</v>
      </c>
      <c r="G78" s="2" t="s">
        <v>538</v>
      </c>
      <c r="H78" s="2" t="s">
        <v>264</v>
      </c>
      <c r="I78" s="2" t="s">
        <v>34</v>
      </c>
      <c r="J78" s="2"/>
      <c r="K78" s="2" t="s">
        <v>36</v>
      </c>
      <c r="L78" s="2" t="s">
        <v>45</v>
      </c>
      <c r="M78" s="2" t="s">
        <v>45</v>
      </c>
      <c r="N78" s="2" t="s">
        <v>900</v>
      </c>
      <c r="O78" s="2"/>
    </row>
    <row r="79" spans="1:16" ht="200.25">
      <c r="A79" s="2" t="s">
        <v>539</v>
      </c>
      <c r="B79" s="2" t="s">
        <v>540</v>
      </c>
      <c r="C79" s="2" t="s">
        <v>157</v>
      </c>
      <c r="D79" s="2" t="s">
        <v>168</v>
      </c>
      <c r="E79" s="2" t="s">
        <v>541</v>
      </c>
      <c r="F79" s="2" t="s">
        <v>542</v>
      </c>
      <c r="G79" s="2" t="s">
        <v>543</v>
      </c>
      <c r="H79" s="2" t="s">
        <v>248</v>
      </c>
      <c r="I79" s="2" t="s">
        <v>42</v>
      </c>
      <c r="J79" s="2" t="s">
        <v>43</v>
      </c>
      <c r="K79" s="2" t="s">
        <v>44</v>
      </c>
      <c r="L79" s="2" t="s">
        <v>45</v>
      </c>
      <c r="M79" s="2" t="s">
        <v>45</v>
      </c>
      <c r="N79" s="2" t="s">
        <v>900</v>
      </c>
      <c r="O79" s="2" t="s">
        <v>911</v>
      </c>
    </row>
    <row r="80" spans="1:16" ht="200.25">
      <c r="A80" s="2" t="s">
        <v>544</v>
      </c>
      <c r="B80" s="2" t="s">
        <v>545</v>
      </c>
      <c r="C80" s="2" t="s">
        <v>167</v>
      </c>
      <c r="D80" s="2" t="s">
        <v>300</v>
      </c>
      <c r="E80" s="2" t="s">
        <v>546</v>
      </c>
      <c r="F80" s="2" t="s">
        <v>547</v>
      </c>
      <c r="G80" s="2" t="s">
        <v>548</v>
      </c>
      <c r="H80" s="2" t="s">
        <v>264</v>
      </c>
      <c r="I80" s="2" t="s">
        <v>34</v>
      </c>
      <c r="J80" s="2"/>
      <c r="K80" s="2" t="s">
        <v>36</v>
      </c>
      <c r="L80" s="2" t="s">
        <v>45</v>
      </c>
      <c r="M80" s="2" t="s">
        <v>45</v>
      </c>
      <c r="N80" s="2" t="s">
        <v>900</v>
      </c>
      <c r="O80" s="2"/>
    </row>
    <row r="81" spans="1:16" ht="200.25">
      <c r="A81" s="2" t="s">
        <v>549</v>
      </c>
      <c r="B81" s="2" t="s">
        <v>550</v>
      </c>
      <c r="C81" s="2" t="s">
        <v>190</v>
      </c>
      <c r="D81" s="2" t="s">
        <v>267</v>
      </c>
      <c r="E81" s="2" t="s">
        <v>551</v>
      </c>
      <c r="F81" s="2" t="s">
        <v>552</v>
      </c>
      <c r="G81" s="2" t="s">
        <v>553</v>
      </c>
      <c r="H81" s="2" t="s">
        <v>264</v>
      </c>
      <c r="I81" s="2" t="s">
        <v>34</v>
      </c>
      <c r="J81" s="2"/>
      <c r="K81" s="2" t="s">
        <v>36</v>
      </c>
      <c r="L81" s="2" t="s">
        <v>45</v>
      </c>
      <c r="M81" s="2" t="s">
        <v>45</v>
      </c>
      <c r="N81" s="2" t="s">
        <v>900</v>
      </c>
      <c r="O81" s="2"/>
    </row>
    <row r="82" spans="1:16" ht="200.25">
      <c r="A82" s="2" t="s">
        <v>555</v>
      </c>
      <c r="B82" s="2" t="s">
        <v>556</v>
      </c>
      <c r="C82" s="2" t="s">
        <v>167</v>
      </c>
      <c r="D82" s="2" t="s">
        <v>191</v>
      </c>
      <c r="E82" s="2" t="s">
        <v>557</v>
      </c>
      <c r="F82" s="2" t="s">
        <v>558</v>
      </c>
      <c r="G82" s="2" t="s">
        <v>559</v>
      </c>
      <c r="H82" s="2" t="s">
        <v>248</v>
      </c>
      <c r="I82" s="2" t="s">
        <v>42</v>
      </c>
      <c r="J82" s="2" t="s">
        <v>43</v>
      </c>
      <c r="K82" s="2" t="s">
        <v>36</v>
      </c>
      <c r="L82" s="2" t="s">
        <v>45</v>
      </c>
      <c r="M82" s="2" t="s">
        <v>45</v>
      </c>
      <c r="N82" s="2" t="s">
        <v>900</v>
      </c>
      <c r="O82" s="2" t="s">
        <v>909</v>
      </c>
    </row>
    <row r="83" spans="1:16" ht="216.75">
      <c r="A83" s="2" t="s">
        <v>560</v>
      </c>
      <c r="B83" s="2" t="s">
        <v>561</v>
      </c>
      <c r="C83" s="2" t="s">
        <v>233</v>
      </c>
      <c r="D83" s="2" t="s">
        <v>110</v>
      </c>
      <c r="E83" s="2" t="s">
        <v>562</v>
      </c>
      <c r="F83" s="2" t="s">
        <v>563</v>
      </c>
      <c r="G83" s="2" t="s">
        <v>564</v>
      </c>
      <c r="H83" s="2" t="s">
        <v>264</v>
      </c>
      <c r="I83" s="2" t="s">
        <v>34</v>
      </c>
      <c r="J83" s="2"/>
      <c r="K83" s="2" t="s">
        <v>36</v>
      </c>
      <c r="L83" s="2"/>
      <c r="M83" s="2" t="s">
        <v>45</v>
      </c>
      <c r="N83" s="2" t="s">
        <v>900</v>
      </c>
      <c r="O83" s="2"/>
    </row>
    <row r="84" spans="1:16" ht="409.6">
      <c r="A84" s="2" t="s">
        <v>565</v>
      </c>
      <c r="B84" s="2" t="s">
        <v>566</v>
      </c>
      <c r="C84" s="2" t="s">
        <v>202</v>
      </c>
      <c r="D84" s="2" t="s">
        <v>267</v>
      </c>
      <c r="E84" s="2" t="s">
        <v>567</v>
      </c>
      <c r="F84" s="2" t="s">
        <v>568</v>
      </c>
      <c r="G84" s="2" t="s">
        <v>569</v>
      </c>
      <c r="H84" s="2" t="s">
        <v>264</v>
      </c>
      <c r="I84" s="2" t="s">
        <v>42</v>
      </c>
      <c r="J84" s="2" t="s">
        <v>35</v>
      </c>
      <c r="K84" s="2" t="s">
        <v>36</v>
      </c>
      <c r="L84" s="2" t="s">
        <v>45</v>
      </c>
      <c r="M84" s="2" t="s">
        <v>37</v>
      </c>
      <c r="N84" s="2" t="s">
        <v>900</v>
      </c>
      <c r="O84" s="2" t="s">
        <v>915</v>
      </c>
      <c r="P84" s="12" t="s">
        <v>916</v>
      </c>
    </row>
    <row r="85" spans="1:16" ht="200.25">
      <c r="A85" s="2" t="s">
        <v>570</v>
      </c>
      <c r="B85" s="2" t="s">
        <v>571</v>
      </c>
      <c r="C85" s="2" t="s">
        <v>233</v>
      </c>
      <c r="D85" s="2" t="s">
        <v>168</v>
      </c>
      <c r="E85" s="2" t="s">
        <v>572</v>
      </c>
      <c r="F85" s="2" t="s">
        <v>573</v>
      </c>
      <c r="G85" s="2" t="s">
        <v>574</v>
      </c>
      <c r="H85" s="2" t="s">
        <v>242</v>
      </c>
      <c r="I85" s="2" t="s">
        <v>42</v>
      </c>
      <c r="J85" s="2" t="s">
        <v>35</v>
      </c>
      <c r="K85" s="2" t="s">
        <v>44</v>
      </c>
      <c r="L85" s="2" t="s">
        <v>45</v>
      </c>
      <c r="M85" s="2" t="s">
        <v>45</v>
      </c>
      <c r="N85" s="2" t="s">
        <v>900</v>
      </c>
      <c r="O85" s="2"/>
    </row>
    <row r="86" spans="1:16" ht="168">
      <c r="A86" s="2" t="s">
        <v>575</v>
      </c>
      <c r="B86" s="2" t="s">
        <v>576</v>
      </c>
      <c r="C86" s="2" t="s">
        <v>202</v>
      </c>
      <c r="D86" s="2" t="s">
        <v>110</v>
      </c>
      <c r="E86" s="2" t="s">
        <v>577</v>
      </c>
      <c r="F86" s="2" t="s">
        <v>578</v>
      </c>
      <c r="G86" s="2" t="s">
        <v>579</v>
      </c>
      <c r="H86" s="2" t="s">
        <v>580</v>
      </c>
      <c r="I86" s="2" t="s">
        <v>42</v>
      </c>
      <c r="J86" s="2" t="s">
        <v>43</v>
      </c>
      <c r="K86" s="2" t="s">
        <v>44</v>
      </c>
      <c r="L86" s="2" t="s">
        <v>45</v>
      </c>
      <c r="M86" s="2" t="s">
        <v>45</v>
      </c>
      <c r="N86" s="2" t="s">
        <v>900</v>
      </c>
      <c r="O86" s="2"/>
    </row>
    <row r="87" spans="1:16" ht="200.25">
      <c r="A87" s="2" t="s">
        <v>581</v>
      </c>
      <c r="B87" s="2" t="s">
        <v>582</v>
      </c>
      <c r="C87" s="2" t="s">
        <v>233</v>
      </c>
      <c r="D87" s="2" t="s">
        <v>168</v>
      </c>
      <c r="E87" s="2" t="s">
        <v>583</v>
      </c>
      <c r="F87" s="2" t="s">
        <v>584</v>
      </c>
      <c r="G87" s="2" t="s">
        <v>585</v>
      </c>
      <c r="H87" s="2" t="s">
        <v>248</v>
      </c>
      <c r="I87" s="2" t="s">
        <v>42</v>
      </c>
      <c r="J87" s="2" t="s">
        <v>43</v>
      </c>
      <c r="K87" s="2" t="s">
        <v>36</v>
      </c>
      <c r="L87" s="2" t="s">
        <v>45</v>
      </c>
      <c r="M87" s="2" t="s">
        <v>45</v>
      </c>
      <c r="N87" s="2" t="s">
        <v>900</v>
      </c>
      <c r="O87" s="2"/>
    </row>
    <row r="88" spans="1:16" ht="200.25">
      <c r="A88" s="2" t="s">
        <v>586</v>
      </c>
      <c r="B88" s="2" t="s">
        <v>587</v>
      </c>
      <c r="C88" s="2" t="s">
        <v>152</v>
      </c>
      <c r="D88" s="2" t="s">
        <v>110</v>
      </c>
      <c r="E88" s="2" t="s">
        <v>588</v>
      </c>
      <c r="F88" s="2" t="s">
        <v>589</v>
      </c>
      <c r="G88" s="2" t="s">
        <v>590</v>
      </c>
      <c r="H88" s="2" t="s">
        <v>264</v>
      </c>
      <c r="I88" s="2" t="s">
        <v>34</v>
      </c>
      <c r="J88" s="2"/>
      <c r="K88" s="2" t="s">
        <v>36</v>
      </c>
      <c r="L88" s="2" t="s">
        <v>45</v>
      </c>
      <c r="M88" s="2" t="s">
        <v>45</v>
      </c>
      <c r="N88" s="2" t="s">
        <v>900</v>
      </c>
      <c r="O88" s="2"/>
    </row>
    <row r="89" spans="1:16" ht="216.75">
      <c r="A89" s="2" t="s">
        <v>591</v>
      </c>
      <c r="B89" s="2" t="s">
        <v>592</v>
      </c>
      <c r="C89" s="2" t="s">
        <v>167</v>
      </c>
      <c r="D89" s="2" t="s">
        <v>191</v>
      </c>
      <c r="E89" s="2" t="s">
        <v>593</v>
      </c>
      <c r="F89" s="2" t="s">
        <v>594</v>
      </c>
      <c r="G89" s="2" t="s">
        <v>595</v>
      </c>
      <c r="H89" s="2" t="s">
        <v>264</v>
      </c>
      <c r="I89" s="2" t="s">
        <v>34</v>
      </c>
      <c r="J89" s="2"/>
      <c r="K89" s="2" t="s">
        <v>36</v>
      </c>
      <c r="L89" s="2" t="s">
        <v>45</v>
      </c>
      <c r="M89" s="2" t="s">
        <v>45</v>
      </c>
      <c r="N89" s="2" t="s">
        <v>900</v>
      </c>
      <c r="O89" s="2"/>
    </row>
    <row r="90" spans="1:16" ht="200.25">
      <c r="A90" s="2" t="s">
        <v>596</v>
      </c>
      <c r="B90" s="2" t="s">
        <v>597</v>
      </c>
      <c r="C90" s="2" t="s">
        <v>141</v>
      </c>
      <c r="D90" s="2" t="s">
        <v>267</v>
      </c>
      <c r="E90" s="2" t="s">
        <v>598</v>
      </c>
      <c r="F90" s="2" t="s">
        <v>599</v>
      </c>
      <c r="G90" s="2" t="s">
        <v>600</v>
      </c>
      <c r="H90" s="2" t="s">
        <v>264</v>
      </c>
      <c r="I90" s="2" t="s">
        <v>34</v>
      </c>
      <c r="J90" s="2"/>
      <c r="K90" s="2" t="s">
        <v>36</v>
      </c>
      <c r="L90" s="2" t="s">
        <v>45</v>
      </c>
      <c r="M90" s="2" t="s">
        <v>45</v>
      </c>
      <c r="N90" s="2" t="s">
        <v>900</v>
      </c>
      <c r="O90" s="2"/>
    </row>
    <row r="91" spans="1:16" ht="200.25">
      <c r="A91" s="2" t="s">
        <v>601</v>
      </c>
      <c r="B91" s="2" t="s">
        <v>602</v>
      </c>
      <c r="C91" s="2" t="s">
        <v>202</v>
      </c>
      <c r="D91" s="2" t="s">
        <v>104</v>
      </c>
      <c r="E91" s="2" t="s">
        <v>603</v>
      </c>
      <c r="F91" s="2" t="s">
        <v>604</v>
      </c>
      <c r="G91" s="2" t="s">
        <v>605</v>
      </c>
      <c r="H91" s="2" t="s">
        <v>248</v>
      </c>
      <c r="I91" s="2" t="s">
        <v>42</v>
      </c>
      <c r="J91" s="2" t="s">
        <v>35</v>
      </c>
      <c r="K91" s="2" t="s">
        <v>36</v>
      </c>
      <c r="L91" s="2"/>
      <c r="M91" s="2" t="s">
        <v>45</v>
      </c>
      <c r="N91" s="2" t="s">
        <v>900</v>
      </c>
      <c r="O91" s="2"/>
    </row>
    <row r="92" spans="1:16" ht="200.25">
      <c r="A92" s="2" t="s">
        <v>606</v>
      </c>
      <c r="B92" s="2" t="s">
        <v>607</v>
      </c>
      <c r="C92" s="2" t="s">
        <v>233</v>
      </c>
      <c r="D92" s="2" t="s">
        <v>168</v>
      </c>
      <c r="E92" s="2" t="s">
        <v>608</v>
      </c>
      <c r="F92" s="2" t="s">
        <v>609</v>
      </c>
      <c r="G92" s="2" t="s">
        <v>610</v>
      </c>
      <c r="H92" s="2" t="s">
        <v>242</v>
      </c>
      <c r="I92" s="2" t="s">
        <v>42</v>
      </c>
      <c r="J92" s="2" t="s">
        <v>43</v>
      </c>
      <c r="K92" s="2" t="s">
        <v>36</v>
      </c>
      <c r="L92" s="2" t="s">
        <v>45</v>
      </c>
      <c r="M92" s="2" t="s">
        <v>45</v>
      </c>
      <c r="N92" s="2" t="s">
        <v>900</v>
      </c>
      <c r="O92" s="2" t="s">
        <v>911</v>
      </c>
    </row>
    <row r="93" spans="1:16" ht="200.25">
      <c r="A93" s="2" t="s">
        <v>611</v>
      </c>
      <c r="B93" s="2" t="s">
        <v>612</v>
      </c>
      <c r="C93" s="2" t="s">
        <v>202</v>
      </c>
      <c r="D93" s="2" t="s">
        <v>168</v>
      </c>
      <c r="E93" s="2" t="s">
        <v>613</v>
      </c>
      <c r="F93" s="2" t="s">
        <v>614</v>
      </c>
      <c r="G93" s="2" t="s">
        <v>615</v>
      </c>
      <c r="H93" s="2" t="s">
        <v>264</v>
      </c>
      <c r="I93" s="2" t="s">
        <v>34</v>
      </c>
      <c r="J93" s="2"/>
      <c r="K93" s="2" t="s">
        <v>36</v>
      </c>
      <c r="L93" s="2"/>
      <c r="M93" s="2" t="s">
        <v>45</v>
      </c>
      <c r="N93" s="2" t="s">
        <v>900</v>
      </c>
      <c r="O93" s="2" t="s">
        <v>912</v>
      </c>
    </row>
    <row r="94" spans="1:16" ht="216.75">
      <c r="A94" s="2" t="s">
        <v>616</v>
      </c>
      <c r="B94" s="2" t="s">
        <v>617</v>
      </c>
      <c r="C94" s="2" t="s">
        <v>167</v>
      </c>
      <c r="D94" s="2" t="s">
        <v>168</v>
      </c>
      <c r="E94" s="2" t="s">
        <v>618</v>
      </c>
      <c r="F94" s="2" t="s">
        <v>619</v>
      </c>
      <c r="G94" s="2" t="s">
        <v>620</v>
      </c>
      <c r="H94" s="2" t="s">
        <v>621</v>
      </c>
      <c r="I94" s="2" t="s">
        <v>42</v>
      </c>
      <c r="J94" s="2" t="s">
        <v>35</v>
      </c>
      <c r="K94" s="2" t="s">
        <v>36</v>
      </c>
      <c r="L94" s="2" t="s">
        <v>45</v>
      </c>
      <c r="M94" s="2" t="s">
        <v>45</v>
      </c>
      <c r="N94" s="2" t="s">
        <v>900</v>
      </c>
      <c r="O94" s="2"/>
    </row>
    <row r="95" spans="1:16" ht="200.25">
      <c r="A95" s="2" t="s">
        <v>622</v>
      </c>
      <c r="B95" s="2" t="s">
        <v>623</v>
      </c>
      <c r="C95" s="2" t="s">
        <v>190</v>
      </c>
      <c r="D95" s="2" t="s">
        <v>110</v>
      </c>
      <c r="E95" s="2" t="s">
        <v>624</v>
      </c>
      <c r="F95" s="2" t="s">
        <v>625</v>
      </c>
      <c r="G95" s="2" t="s">
        <v>626</v>
      </c>
      <c r="H95" s="2" t="s">
        <v>248</v>
      </c>
      <c r="I95" s="2" t="s">
        <v>42</v>
      </c>
      <c r="J95" s="2" t="s">
        <v>43</v>
      </c>
      <c r="K95" s="2" t="s">
        <v>44</v>
      </c>
      <c r="L95" s="2" t="s">
        <v>45</v>
      </c>
      <c r="M95" s="2" t="s">
        <v>45</v>
      </c>
      <c r="N95" s="2" t="s">
        <v>900</v>
      </c>
      <c r="O95" s="2" t="s">
        <v>911</v>
      </c>
    </row>
    <row r="96" spans="1:16" ht="100.5">
      <c r="A96" s="2" t="s">
        <v>627</v>
      </c>
      <c r="B96" s="2" t="s">
        <v>628</v>
      </c>
      <c r="C96" s="2" t="s">
        <v>202</v>
      </c>
      <c r="D96" s="2" t="s">
        <v>168</v>
      </c>
      <c r="E96" s="2" t="s">
        <v>629</v>
      </c>
      <c r="F96" s="2" t="s">
        <v>630</v>
      </c>
      <c r="G96" s="2" t="s">
        <v>631</v>
      </c>
      <c r="H96" s="2" t="s">
        <v>248</v>
      </c>
      <c r="I96" s="2" t="s">
        <v>42</v>
      </c>
      <c r="J96" s="2" t="s">
        <v>43</v>
      </c>
      <c r="K96" s="2" t="s">
        <v>44</v>
      </c>
      <c r="L96" s="2" t="s">
        <v>45</v>
      </c>
      <c r="M96" s="2" t="s">
        <v>45</v>
      </c>
      <c r="N96" s="2" t="s">
        <v>900</v>
      </c>
      <c r="O96" s="2" t="s">
        <v>908</v>
      </c>
    </row>
    <row r="97" spans="1:15" ht="200.25">
      <c r="A97" s="2" t="s">
        <v>632</v>
      </c>
      <c r="B97" s="2" t="s">
        <v>633</v>
      </c>
      <c r="C97" s="2" t="s">
        <v>233</v>
      </c>
      <c r="D97" s="2" t="s">
        <v>104</v>
      </c>
      <c r="E97" s="2" t="s">
        <v>634</v>
      </c>
      <c r="F97" s="2" t="s">
        <v>635</v>
      </c>
      <c r="G97" s="2" t="s">
        <v>636</v>
      </c>
      <c r="H97" s="2" t="s">
        <v>637</v>
      </c>
      <c r="I97" s="2" t="s">
        <v>34</v>
      </c>
      <c r="J97" s="2"/>
      <c r="K97" s="2" t="s">
        <v>36</v>
      </c>
      <c r="L97" s="2"/>
      <c r="M97" s="2" t="s">
        <v>45</v>
      </c>
      <c r="N97" s="2" t="s">
        <v>900</v>
      </c>
      <c r="O97" s="2"/>
    </row>
    <row r="98" spans="1:15" ht="200.25">
      <c r="A98" s="2" t="s">
        <v>638</v>
      </c>
      <c r="B98" s="2" t="s">
        <v>639</v>
      </c>
      <c r="C98" s="2" t="s">
        <v>202</v>
      </c>
      <c r="D98" s="2" t="s">
        <v>267</v>
      </c>
      <c r="E98" s="2" t="s">
        <v>640</v>
      </c>
      <c r="F98" s="2" t="s">
        <v>641</v>
      </c>
      <c r="G98" s="2" t="s">
        <v>642</v>
      </c>
      <c r="H98" s="2" t="s">
        <v>643</v>
      </c>
      <c r="I98" s="2" t="s">
        <v>34</v>
      </c>
      <c r="J98" s="2"/>
      <c r="K98" s="2" t="s">
        <v>36</v>
      </c>
      <c r="L98" s="2" t="s">
        <v>45</v>
      </c>
      <c r="M98" s="2" t="s">
        <v>45</v>
      </c>
      <c r="N98" s="2" t="s">
        <v>900</v>
      </c>
      <c r="O98" s="2" t="s">
        <v>912</v>
      </c>
    </row>
    <row r="99" spans="1:15" ht="200.25">
      <c r="A99" s="2" t="s">
        <v>644</v>
      </c>
      <c r="B99" s="2" t="s">
        <v>645</v>
      </c>
      <c r="C99" s="2" t="s">
        <v>202</v>
      </c>
      <c r="D99" s="2" t="s">
        <v>168</v>
      </c>
      <c r="E99" s="2" t="s">
        <v>646</v>
      </c>
      <c r="F99" s="2" t="s">
        <v>647</v>
      </c>
      <c r="G99" s="2" t="s">
        <v>648</v>
      </c>
      <c r="H99" s="2" t="s">
        <v>649</v>
      </c>
      <c r="I99" s="2" t="s">
        <v>42</v>
      </c>
      <c r="J99" s="2" t="s">
        <v>35</v>
      </c>
      <c r="K99" s="2" t="s">
        <v>36</v>
      </c>
      <c r="L99" s="2"/>
      <c r="M99" s="2" t="s">
        <v>45</v>
      </c>
      <c r="N99" s="2" t="s">
        <v>900</v>
      </c>
      <c r="O99" s="2"/>
    </row>
    <row r="100" spans="1:15" ht="200.25">
      <c r="A100" s="2" t="s">
        <v>650</v>
      </c>
      <c r="B100" s="2" t="s">
        <v>651</v>
      </c>
      <c r="C100" s="2" t="s">
        <v>233</v>
      </c>
      <c r="D100" s="2" t="s">
        <v>191</v>
      </c>
      <c r="E100" s="2" t="s">
        <v>652</v>
      </c>
      <c r="F100" s="2" t="s">
        <v>653</v>
      </c>
      <c r="G100" s="2" t="s">
        <v>654</v>
      </c>
      <c r="H100" s="2" t="s">
        <v>248</v>
      </c>
      <c r="I100" s="2" t="s">
        <v>42</v>
      </c>
      <c r="J100" s="2" t="s">
        <v>43</v>
      </c>
      <c r="K100" s="2" t="s">
        <v>44</v>
      </c>
      <c r="L100" s="2" t="s">
        <v>45</v>
      </c>
      <c r="M100" s="2" t="s">
        <v>45</v>
      </c>
      <c r="N100" s="2" t="s">
        <v>900</v>
      </c>
      <c r="O100" s="2"/>
    </row>
    <row r="101" spans="1:15" ht="200.25">
      <c r="A101" s="2" t="s">
        <v>655</v>
      </c>
      <c r="B101" s="2" t="s">
        <v>656</v>
      </c>
      <c r="C101" s="2" t="s">
        <v>299</v>
      </c>
      <c r="D101" s="2" t="s">
        <v>300</v>
      </c>
      <c r="E101" s="2" t="s">
        <v>657</v>
      </c>
      <c r="F101" s="2" t="s">
        <v>658</v>
      </c>
      <c r="G101" s="2" t="s">
        <v>659</v>
      </c>
      <c r="H101" s="2" t="s">
        <v>248</v>
      </c>
      <c r="I101" s="2" t="s">
        <v>42</v>
      </c>
      <c r="J101" s="2" t="s">
        <v>43</v>
      </c>
      <c r="K101" s="2" t="s">
        <v>36</v>
      </c>
      <c r="L101" s="2" t="s">
        <v>45</v>
      </c>
      <c r="M101" s="2" t="s">
        <v>45</v>
      </c>
      <c r="N101" s="2" t="s">
        <v>900</v>
      </c>
      <c r="O101" s="2" t="s">
        <v>908</v>
      </c>
    </row>
    <row r="102" spans="1:15" ht="200.25">
      <c r="A102" s="2" t="s">
        <v>660</v>
      </c>
      <c r="B102" s="2" t="s">
        <v>661</v>
      </c>
      <c r="C102" s="2" t="s">
        <v>202</v>
      </c>
      <c r="D102" s="2" t="s">
        <v>110</v>
      </c>
      <c r="E102" s="2" t="s">
        <v>662</v>
      </c>
      <c r="F102" s="2" t="s">
        <v>663</v>
      </c>
      <c r="G102" s="2" t="s">
        <v>664</v>
      </c>
      <c r="H102" s="2" t="s">
        <v>468</v>
      </c>
      <c r="I102" s="2" t="s">
        <v>34</v>
      </c>
      <c r="J102" s="2"/>
      <c r="K102" s="2" t="s">
        <v>36</v>
      </c>
      <c r="L102" s="2" t="s">
        <v>45</v>
      </c>
      <c r="M102" s="2" t="s">
        <v>45</v>
      </c>
      <c r="N102" s="2" t="s">
        <v>900</v>
      </c>
      <c r="O102" s="2"/>
    </row>
    <row r="103" spans="1:15" ht="200.25">
      <c r="A103" s="2" t="s">
        <v>665</v>
      </c>
      <c r="B103" s="2" t="s">
        <v>666</v>
      </c>
      <c r="C103" s="2" t="s">
        <v>141</v>
      </c>
      <c r="D103" s="2" t="s">
        <v>300</v>
      </c>
      <c r="E103" s="2" t="s">
        <v>667</v>
      </c>
      <c r="F103" s="2" t="s">
        <v>668</v>
      </c>
      <c r="G103" s="2" t="s">
        <v>669</v>
      </c>
      <c r="H103" s="2" t="s">
        <v>637</v>
      </c>
      <c r="I103" s="2" t="s">
        <v>34</v>
      </c>
      <c r="J103" s="2"/>
      <c r="K103" s="2" t="s">
        <v>36</v>
      </c>
      <c r="L103" s="2"/>
      <c r="M103" s="2" t="s">
        <v>45</v>
      </c>
      <c r="N103" s="2" t="s">
        <v>900</v>
      </c>
      <c r="O103" s="2"/>
    </row>
    <row r="104" spans="1:15" ht="200.25">
      <c r="A104" s="2" t="s">
        <v>670</v>
      </c>
      <c r="B104" s="2" t="s">
        <v>671</v>
      </c>
      <c r="C104" s="2" t="s">
        <v>233</v>
      </c>
      <c r="D104" s="2" t="s">
        <v>168</v>
      </c>
      <c r="E104" s="2" t="s">
        <v>672</v>
      </c>
      <c r="F104" s="2" t="s">
        <v>673</v>
      </c>
      <c r="G104" s="2" t="s">
        <v>674</v>
      </c>
      <c r="H104" s="2" t="s">
        <v>248</v>
      </c>
      <c r="I104" s="2" t="s">
        <v>42</v>
      </c>
      <c r="J104" s="2" t="s">
        <v>43</v>
      </c>
      <c r="K104" s="2" t="s">
        <v>44</v>
      </c>
      <c r="L104" s="2"/>
      <c r="M104" s="2" t="s">
        <v>45</v>
      </c>
      <c r="N104" s="2" t="s">
        <v>900</v>
      </c>
      <c r="O104" s="2" t="s">
        <v>902</v>
      </c>
    </row>
    <row r="105" spans="1:15" ht="200.25">
      <c r="A105" s="2" t="s">
        <v>675</v>
      </c>
      <c r="B105" s="2" t="s">
        <v>676</v>
      </c>
      <c r="C105" s="2" t="s">
        <v>202</v>
      </c>
      <c r="D105" s="2" t="s">
        <v>168</v>
      </c>
      <c r="E105" s="2" t="s">
        <v>677</v>
      </c>
      <c r="F105" s="2" t="s">
        <v>678</v>
      </c>
      <c r="G105" s="2" t="s">
        <v>679</v>
      </c>
      <c r="H105" s="2" t="s">
        <v>680</v>
      </c>
      <c r="I105" s="2" t="s">
        <v>42</v>
      </c>
      <c r="J105" s="2" t="s">
        <v>43</v>
      </c>
      <c r="K105" s="2" t="s">
        <v>36</v>
      </c>
      <c r="L105" s="2" t="s">
        <v>45</v>
      </c>
      <c r="M105" s="2" t="s">
        <v>45</v>
      </c>
      <c r="N105" s="2" t="s">
        <v>900</v>
      </c>
      <c r="O105" s="2"/>
    </row>
    <row r="106" spans="1:15" ht="200.25">
      <c r="A106" s="2" t="s">
        <v>681</v>
      </c>
      <c r="B106" s="2" t="s">
        <v>682</v>
      </c>
      <c r="C106" s="2" t="s">
        <v>202</v>
      </c>
      <c r="D106" s="2" t="s">
        <v>168</v>
      </c>
      <c r="E106" s="2" t="s">
        <v>683</v>
      </c>
      <c r="F106" s="2" t="s">
        <v>684</v>
      </c>
      <c r="G106" s="2" t="s">
        <v>685</v>
      </c>
      <c r="H106" s="2" t="s">
        <v>248</v>
      </c>
      <c r="I106" s="2" t="s">
        <v>42</v>
      </c>
      <c r="J106" s="2" t="s">
        <v>43</v>
      </c>
      <c r="K106" s="2" t="s">
        <v>36</v>
      </c>
      <c r="L106" s="2" t="s">
        <v>45</v>
      </c>
      <c r="M106" s="2" t="s">
        <v>45</v>
      </c>
      <c r="N106" s="2" t="s">
        <v>900</v>
      </c>
      <c r="O106" s="2" t="s">
        <v>909</v>
      </c>
    </row>
    <row r="107" spans="1:15" ht="200.25">
      <c r="A107" s="2" t="s">
        <v>686</v>
      </c>
      <c r="B107" s="2" t="s">
        <v>687</v>
      </c>
      <c r="C107" s="2" t="s">
        <v>202</v>
      </c>
      <c r="D107" s="2" t="s">
        <v>267</v>
      </c>
      <c r="E107" s="2" t="s">
        <v>688</v>
      </c>
      <c r="F107" s="2" t="s">
        <v>689</v>
      </c>
      <c r="G107" s="2" t="s">
        <v>690</v>
      </c>
      <c r="H107" s="2" t="s">
        <v>691</v>
      </c>
      <c r="I107" s="2" t="s">
        <v>42</v>
      </c>
      <c r="J107" s="2" t="s">
        <v>43</v>
      </c>
      <c r="K107" s="2" t="s">
        <v>44</v>
      </c>
      <c r="L107" s="2" t="s">
        <v>45</v>
      </c>
      <c r="M107" s="2" t="s">
        <v>37</v>
      </c>
      <c r="N107" s="2" t="s">
        <v>900</v>
      </c>
      <c r="O107" s="2" t="s">
        <v>917</v>
      </c>
    </row>
    <row r="108" spans="1:15" ht="216.75">
      <c r="A108" s="2" t="s">
        <v>693</v>
      </c>
      <c r="B108" s="2" t="s">
        <v>694</v>
      </c>
      <c r="C108" s="2" t="s">
        <v>141</v>
      </c>
      <c r="D108" s="2" t="s">
        <v>300</v>
      </c>
      <c r="E108" s="2" t="s">
        <v>695</v>
      </c>
      <c r="F108" s="2" t="s">
        <v>696</v>
      </c>
      <c r="G108" s="2" t="s">
        <v>697</v>
      </c>
      <c r="H108" s="2" t="s">
        <v>698</v>
      </c>
      <c r="I108" s="2" t="s">
        <v>42</v>
      </c>
      <c r="J108" s="2" t="s">
        <v>43</v>
      </c>
      <c r="K108" s="2" t="s">
        <v>36</v>
      </c>
      <c r="L108" s="2" t="s">
        <v>45</v>
      </c>
      <c r="M108" s="2" t="s">
        <v>45</v>
      </c>
      <c r="N108" s="2" t="s">
        <v>900</v>
      </c>
      <c r="O108" s="2"/>
    </row>
    <row r="109" spans="1:15" ht="200.25">
      <c r="A109" s="2" t="s">
        <v>699</v>
      </c>
      <c r="B109" s="2" t="s">
        <v>700</v>
      </c>
      <c r="C109" s="2" t="s">
        <v>190</v>
      </c>
      <c r="D109" s="2" t="s">
        <v>168</v>
      </c>
      <c r="E109" s="2" t="s">
        <v>701</v>
      </c>
      <c r="F109" s="2" t="s">
        <v>702</v>
      </c>
      <c r="G109" s="2" t="s">
        <v>703</v>
      </c>
      <c r="H109" s="2" t="s">
        <v>637</v>
      </c>
      <c r="I109" s="2" t="s">
        <v>42</v>
      </c>
      <c r="J109" s="2" t="s">
        <v>68</v>
      </c>
      <c r="K109" s="2" t="s">
        <v>36</v>
      </c>
      <c r="L109" s="2" t="s">
        <v>45</v>
      </c>
      <c r="M109" s="2" t="s">
        <v>45</v>
      </c>
      <c r="N109" s="2" t="s">
        <v>900</v>
      </c>
      <c r="O109" s="2"/>
    </row>
    <row r="110" spans="1:15" ht="183.75">
      <c r="A110" s="2" t="s">
        <v>704</v>
      </c>
      <c r="B110" s="2" t="s">
        <v>705</v>
      </c>
      <c r="C110" s="2" t="s">
        <v>190</v>
      </c>
      <c r="D110" s="2" t="s">
        <v>168</v>
      </c>
      <c r="E110" s="2" t="s">
        <v>706</v>
      </c>
      <c r="F110" s="2" t="s">
        <v>707</v>
      </c>
      <c r="G110" s="2" t="s">
        <v>708</v>
      </c>
      <c r="H110" s="2" t="s">
        <v>709</v>
      </c>
      <c r="I110" s="2" t="s">
        <v>42</v>
      </c>
      <c r="J110" s="2" t="s">
        <v>43</v>
      </c>
      <c r="K110" s="2" t="s">
        <v>36</v>
      </c>
      <c r="L110" s="2"/>
      <c r="M110" s="2" t="s">
        <v>45</v>
      </c>
      <c r="N110" s="2" t="s">
        <v>900</v>
      </c>
      <c r="O110" s="2" t="s">
        <v>911</v>
      </c>
    </row>
    <row r="111" spans="1:15" ht="200.25">
      <c r="A111" s="2" t="s">
        <v>710</v>
      </c>
      <c r="B111" s="2" t="s">
        <v>711</v>
      </c>
      <c r="C111" s="2" t="s">
        <v>152</v>
      </c>
      <c r="D111" s="2" t="s">
        <v>168</v>
      </c>
      <c r="E111" s="2" t="s">
        <v>712</v>
      </c>
      <c r="F111" s="2" t="s">
        <v>713</v>
      </c>
      <c r="G111" s="2" t="s">
        <v>714</v>
      </c>
      <c r="H111" s="2" t="s">
        <v>248</v>
      </c>
      <c r="I111" s="2" t="s">
        <v>42</v>
      </c>
      <c r="J111" s="2" t="s">
        <v>43</v>
      </c>
      <c r="K111" s="2" t="s">
        <v>44</v>
      </c>
      <c r="L111" s="2" t="s">
        <v>45</v>
      </c>
      <c r="M111" s="2" t="s">
        <v>45</v>
      </c>
      <c r="N111" s="2" t="s">
        <v>900</v>
      </c>
      <c r="O111" s="2"/>
    </row>
    <row r="112" spans="1:15" ht="100.5">
      <c r="A112" s="2" t="s">
        <v>715</v>
      </c>
      <c r="B112" s="2" t="s">
        <v>716</v>
      </c>
      <c r="C112" s="2" t="s">
        <v>141</v>
      </c>
      <c r="D112" s="2" t="s">
        <v>300</v>
      </c>
      <c r="E112" s="2" t="s">
        <v>717</v>
      </c>
      <c r="F112" s="2" t="s">
        <v>718</v>
      </c>
      <c r="G112" s="2" t="s">
        <v>719</v>
      </c>
      <c r="H112" s="2" t="s">
        <v>372</v>
      </c>
      <c r="I112" s="2" t="s">
        <v>42</v>
      </c>
      <c r="J112" s="2" t="s">
        <v>35</v>
      </c>
      <c r="K112" s="2" t="s">
        <v>36</v>
      </c>
      <c r="L112" s="2"/>
      <c r="M112" s="2" t="s">
        <v>45</v>
      </c>
      <c r="N112" s="2" t="s">
        <v>900</v>
      </c>
      <c r="O112" s="2"/>
    </row>
    <row r="113" spans="1:15" ht="216.75">
      <c r="A113" s="2" t="s">
        <v>720</v>
      </c>
      <c r="B113" s="2" t="s">
        <v>721</v>
      </c>
      <c r="C113" s="2" t="s">
        <v>128</v>
      </c>
      <c r="D113" s="2" t="s">
        <v>300</v>
      </c>
      <c r="E113" s="2" t="s">
        <v>722</v>
      </c>
      <c r="F113" s="2" t="s">
        <v>723</v>
      </c>
      <c r="G113" s="2" t="s">
        <v>724</v>
      </c>
      <c r="H113" s="2" t="s">
        <v>248</v>
      </c>
      <c r="I113" s="2" t="s">
        <v>42</v>
      </c>
      <c r="J113" s="2" t="s">
        <v>68</v>
      </c>
      <c r="K113" s="2" t="s">
        <v>44</v>
      </c>
      <c r="L113" s="2" t="s">
        <v>45</v>
      </c>
      <c r="M113" s="2" t="s">
        <v>45</v>
      </c>
      <c r="N113" s="2" t="s">
        <v>900</v>
      </c>
      <c r="O113" s="2"/>
    </row>
    <row r="114" spans="1:15" ht="216.75">
      <c r="A114" s="2" t="s">
        <v>725</v>
      </c>
      <c r="B114" s="2" t="s">
        <v>726</v>
      </c>
      <c r="C114" s="2" t="s">
        <v>202</v>
      </c>
      <c r="D114" s="2" t="s">
        <v>191</v>
      </c>
      <c r="E114" s="2" t="s">
        <v>727</v>
      </c>
      <c r="F114" s="2" t="s">
        <v>728</v>
      </c>
      <c r="G114" s="2" t="s">
        <v>729</v>
      </c>
      <c r="H114" s="2" t="s">
        <v>248</v>
      </c>
      <c r="I114" s="2" t="s">
        <v>42</v>
      </c>
      <c r="J114" s="2" t="s">
        <v>43</v>
      </c>
      <c r="K114" s="2" t="s">
        <v>44</v>
      </c>
      <c r="L114" s="2" t="s">
        <v>45</v>
      </c>
      <c r="M114" s="2" t="s">
        <v>45</v>
      </c>
      <c r="N114" s="2" t="s">
        <v>900</v>
      </c>
      <c r="O114" s="2"/>
    </row>
    <row r="115" spans="1:15" ht="200.25">
      <c r="A115" s="2" t="s">
        <v>730</v>
      </c>
      <c r="B115" s="2" t="s">
        <v>731</v>
      </c>
      <c r="C115" s="2" t="s">
        <v>202</v>
      </c>
      <c r="D115" s="2" t="s">
        <v>267</v>
      </c>
      <c r="E115" s="2" t="s">
        <v>732</v>
      </c>
      <c r="F115" s="2" t="s">
        <v>733</v>
      </c>
      <c r="G115" s="2" t="s">
        <v>734</v>
      </c>
      <c r="H115" s="2" t="s">
        <v>264</v>
      </c>
      <c r="I115" s="2" t="s">
        <v>34</v>
      </c>
      <c r="J115" s="2"/>
      <c r="K115" s="2" t="s">
        <v>36</v>
      </c>
      <c r="L115" s="2" t="s">
        <v>45</v>
      </c>
      <c r="M115" s="2" t="s">
        <v>45</v>
      </c>
      <c r="N115" s="2" t="s">
        <v>900</v>
      </c>
      <c r="O115" s="2"/>
    </row>
    <row r="116" spans="1:15" ht="200.25">
      <c r="A116" s="2" t="s">
        <v>735</v>
      </c>
      <c r="B116" s="2" t="s">
        <v>736</v>
      </c>
      <c r="C116" s="2" t="s">
        <v>202</v>
      </c>
      <c r="D116" s="2" t="s">
        <v>168</v>
      </c>
      <c r="E116" s="2" t="s">
        <v>737</v>
      </c>
      <c r="F116" s="2" t="s">
        <v>738</v>
      </c>
      <c r="G116" s="2" t="s">
        <v>739</v>
      </c>
      <c r="H116" s="2" t="s">
        <v>248</v>
      </c>
      <c r="I116" s="2" t="s">
        <v>42</v>
      </c>
      <c r="J116" s="2" t="s">
        <v>43</v>
      </c>
      <c r="K116" s="2" t="s">
        <v>36</v>
      </c>
      <c r="L116" s="2" t="s">
        <v>45</v>
      </c>
      <c r="M116" s="2" t="s">
        <v>45</v>
      </c>
      <c r="N116" s="2" t="s">
        <v>900</v>
      </c>
      <c r="O116" s="2"/>
    </row>
    <row r="117" spans="1:15" ht="200.25">
      <c r="A117" s="2" t="s">
        <v>740</v>
      </c>
      <c r="B117" s="2" t="s">
        <v>741</v>
      </c>
      <c r="C117" s="2" t="s">
        <v>233</v>
      </c>
      <c r="D117" s="2" t="s">
        <v>104</v>
      </c>
      <c r="E117" s="2" t="s">
        <v>742</v>
      </c>
      <c r="F117" s="2" t="s">
        <v>743</v>
      </c>
      <c r="G117" s="2" t="s">
        <v>744</v>
      </c>
      <c r="H117" s="2" t="s">
        <v>264</v>
      </c>
      <c r="I117" s="2" t="s">
        <v>34</v>
      </c>
      <c r="J117" s="2"/>
      <c r="K117" s="2" t="s">
        <v>36</v>
      </c>
      <c r="L117" s="2" t="s">
        <v>45</v>
      </c>
      <c r="M117" s="2" t="s">
        <v>45</v>
      </c>
      <c r="N117" s="2" t="s">
        <v>900</v>
      </c>
      <c r="O117" s="2"/>
    </row>
    <row r="118" spans="1:15" ht="100.5">
      <c r="A118" s="2" t="s">
        <v>745</v>
      </c>
      <c r="B118" s="2" t="s">
        <v>746</v>
      </c>
      <c r="C118" s="2" t="s">
        <v>190</v>
      </c>
      <c r="D118" s="2" t="s">
        <v>168</v>
      </c>
      <c r="E118" s="2" t="s">
        <v>747</v>
      </c>
      <c r="F118" s="2" t="s">
        <v>748</v>
      </c>
      <c r="G118" s="2" t="s">
        <v>749</v>
      </c>
      <c r="H118" s="2" t="s">
        <v>248</v>
      </c>
      <c r="I118" s="2" t="s">
        <v>34</v>
      </c>
      <c r="J118" s="2"/>
      <c r="K118" s="2" t="s">
        <v>44</v>
      </c>
      <c r="L118" s="2"/>
      <c r="M118" s="2" t="s">
        <v>45</v>
      </c>
      <c r="N118" s="2" t="s">
        <v>900</v>
      </c>
      <c r="O118" s="2"/>
    </row>
    <row r="119" spans="1:15" ht="200.25">
      <c r="A119" s="2" t="s">
        <v>750</v>
      </c>
      <c r="B119" s="2" t="s">
        <v>751</v>
      </c>
      <c r="C119" s="2" t="s">
        <v>157</v>
      </c>
      <c r="D119" s="2" t="s">
        <v>752</v>
      </c>
      <c r="E119" s="2" t="s">
        <v>753</v>
      </c>
      <c r="F119" s="2" t="s">
        <v>754</v>
      </c>
      <c r="G119" s="2" t="s">
        <v>755</v>
      </c>
      <c r="H119" s="2" t="s">
        <v>242</v>
      </c>
      <c r="I119" s="2" t="s">
        <v>42</v>
      </c>
      <c r="J119" s="2" t="s">
        <v>35</v>
      </c>
      <c r="K119" s="2" t="s">
        <v>44</v>
      </c>
      <c r="L119" s="2" t="s">
        <v>45</v>
      </c>
      <c r="M119" s="2" t="s">
        <v>45</v>
      </c>
      <c r="N119" s="2" t="s">
        <v>900</v>
      </c>
      <c r="O119" s="2"/>
    </row>
    <row r="120" spans="1:15" ht="200.25">
      <c r="A120" s="2" t="s">
        <v>756</v>
      </c>
      <c r="B120" s="2" t="s">
        <v>757</v>
      </c>
      <c r="C120" s="2" t="s">
        <v>167</v>
      </c>
      <c r="D120" s="2" t="s">
        <v>110</v>
      </c>
      <c r="E120" s="2" t="s">
        <v>758</v>
      </c>
      <c r="F120" s="2" t="s">
        <v>759</v>
      </c>
      <c r="G120" s="2" t="s">
        <v>760</v>
      </c>
      <c r="H120" s="2" t="s">
        <v>468</v>
      </c>
      <c r="I120" s="2" t="s">
        <v>34</v>
      </c>
      <c r="J120" s="2"/>
      <c r="K120" s="2" t="s">
        <v>36</v>
      </c>
      <c r="L120" s="2" t="s">
        <v>45</v>
      </c>
      <c r="M120" s="2" t="s">
        <v>45</v>
      </c>
      <c r="N120" s="2" t="s">
        <v>900</v>
      </c>
      <c r="O120" s="2" t="s">
        <v>912</v>
      </c>
    </row>
    <row r="121" spans="1:15" ht="200.25">
      <c r="A121" s="2" t="s">
        <v>761</v>
      </c>
      <c r="B121" s="2" t="s">
        <v>762</v>
      </c>
      <c r="C121" s="2" t="s">
        <v>152</v>
      </c>
      <c r="D121" s="2" t="s">
        <v>300</v>
      </c>
      <c r="E121" s="2" t="s">
        <v>763</v>
      </c>
      <c r="F121" s="2" t="s">
        <v>764</v>
      </c>
      <c r="G121" s="2" t="s">
        <v>765</v>
      </c>
      <c r="H121" s="2" t="s">
        <v>248</v>
      </c>
      <c r="I121" s="2" t="s">
        <v>42</v>
      </c>
      <c r="J121" s="2" t="s">
        <v>35</v>
      </c>
      <c r="K121" s="2" t="s">
        <v>36</v>
      </c>
      <c r="L121" s="2" t="s">
        <v>45</v>
      </c>
      <c r="M121" s="2" t="s">
        <v>45</v>
      </c>
      <c r="N121" s="2" t="s">
        <v>900</v>
      </c>
      <c r="O121" s="2" t="s">
        <v>911</v>
      </c>
    </row>
    <row r="122" spans="1:15" ht="200.25">
      <c r="A122" s="2" t="s">
        <v>766</v>
      </c>
      <c r="B122" s="2" t="s">
        <v>767</v>
      </c>
      <c r="C122" s="2" t="s">
        <v>233</v>
      </c>
      <c r="D122" s="2" t="s">
        <v>168</v>
      </c>
      <c r="E122" s="2" t="s">
        <v>768</v>
      </c>
      <c r="F122" s="2" t="s">
        <v>769</v>
      </c>
      <c r="G122" s="2" t="s">
        <v>770</v>
      </c>
      <c r="H122" s="2" t="s">
        <v>771</v>
      </c>
      <c r="I122" s="2" t="s">
        <v>42</v>
      </c>
      <c r="J122" s="2" t="s">
        <v>35</v>
      </c>
      <c r="K122" s="2" t="s">
        <v>36</v>
      </c>
      <c r="L122" s="2" t="s">
        <v>37</v>
      </c>
      <c r="M122" s="2" t="s">
        <v>45</v>
      </c>
      <c r="N122" s="2" t="s">
        <v>900</v>
      </c>
      <c r="O122" s="11" t="s">
        <v>918</v>
      </c>
    </row>
    <row r="123" spans="1:15" ht="183.75">
      <c r="A123" s="2" t="s">
        <v>773</v>
      </c>
      <c r="B123" s="2" t="s">
        <v>774</v>
      </c>
      <c r="C123" s="2" t="s">
        <v>167</v>
      </c>
      <c r="D123" s="2" t="s">
        <v>168</v>
      </c>
      <c r="E123" s="2" t="s">
        <v>775</v>
      </c>
      <c r="F123" s="2" t="s">
        <v>776</v>
      </c>
      <c r="G123" s="2" t="s">
        <v>777</v>
      </c>
      <c r="H123" s="2" t="s">
        <v>248</v>
      </c>
      <c r="I123" s="2" t="s">
        <v>42</v>
      </c>
      <c r="J123" s="2" t="s">
        <v>43</v>
      </c>
      <c r="K123" s="2" t="s">
        <v>44</v>
      </c>
      <c r="L123" s="2" t="s">
        <v>45</v>
      </c>
      <c r="M123" s="2" t="s">
        <v>45</v>
      </c>
      <c r="N123" s="2" t="s">
        <v>900</v>
      </c>
      <c r="O123" s="2" t="s">
        <v>911</v>
      </c>
    </row>
    <row r="124" spans="1:15" ht="200.25">
      <c r="A124" s="2" t="s">
        <v>778</v>
      </c>
      <c r="B124" s="2" t="s">
        <v>779</v>
      </c>
      <c r="C124" s="2" t="s">
        <v>135</v>
      </c>
      <c r="D124" s="2" t="s">
        <v>300</v>
      </c>
      <c r="E124" s="2" t="s">
        <v>780</v>
      </c>
      <c r="F124" s="2" t="s">
        <v>781</v>
      </c>
      <c r="G124" s="2" t="s">
        <v>782</v>
      </c>
      <c r="H124" s="2" t="s">
        <v>248</v>
      </c>
      <c r="I124" s="2" t="s">
        <v>42</v>
      </c>
      <c r="J124" s="2" t="s">
        <v>43</v>
      </c>
      <c r="K124" s="2" t="s">
        <v>36</v>
      </c>
      <c r="L124" s="2" t="s">
        <v>37</v>
      </c>
      <c r="M124" s="2" t="s">
        <v>37</v>
      </c>
      <c r="N124" s="2" t="s">
        <v>900</v>
      </c>
      <c r="O124" s="2" t="s">
        <v>919</v>
      </c>
    </row>
    <row r="125" spans="1:15" ht="200.25">
      <c r="A125" s="2" t="s">
        <v>783</v>
      </c>
      <c r="B125" s="2" t="s">
        <v>784</v>
      </c>
      <c r="C125" s="2" t="s">
        <v>152</v>
      </c>
      <c r="D125" s="2" t="s">
        <v>267</v>
      </c>
      <c r="E125" s="2" t="s">
        <v>785</v>
      </c>
      <c r="F125" s="2" t="s">
        <v>786</v>
      </c>
      <c r="G125" s="2" t="s">
        <v>787</v>
      </c>
      <c r="H125" s="2" t="s">
        <v>264</v>
      </c>
      <c r="I125" s="2" t="s">
        <v>34</v>
      </c>
      <c r="J125" s="2"/>
      <c r="K125" s="2" t="s">
        <v>36</v>
      </c>
      <c r="L125" s="2" t="s">
        <v>45</v>
      </c>
      <c r="M125" s="2" t="s">
        <v>45</v>
      </c>
      <c r="N125" s="2" t="s">
        <v>900</v>
      </c>
      <c r="O125" s="2"/>
    </row>
    <row r="126" spans="1:15" ht="200.25">
      <c r="A126" s="2" t="s">
        <v>788</v>
      </c>
      <c r="B126" s="2" t="s">
        <v>789</v>
      </c>
      <c r="C126" s="2" t="s">
        <v>233</v>
      </c>
      <c r="D126" s="2" t="s">
        <v>168</v>
      </c>
      <c r="E126" s="2" t="s">
        <v>790</v>
      </c>
      <c r="F126" s="2" t="s">
        <v>791</v>
      </c>
      <c r="G126" s="2" t="s">
        <v>792</v>
      </c>
      <c r="H126" s="2" t="s">
        <v>242</v>
      </c>
      <c r="I126" s="2" t="s">
        <v>42</v>
      </c>
      <c r="J126" s="2" t="s">
        <v>35</v>
      </c>
      <c r="K126" s="2" t="s">
        <v>36</v>
      </c>
      <c r="L126" s="2" t="s">
        <v>45</v>
      </c>
      <c r="M126" s="2" t="s">
        <v>45</v>
      </c>
      <c r="N126" s="2" t="s">
        <v>900</v>
      </c>
      <c r="O126" s="2" t="s">
        <v>908</v>
      </c>
    </row>
    <row r="127" spans="1:15" ht="200.25">
      <c r="A127" s="2" t="s">
        <v>793</v>
      </c>
      <c r="B127" s="2" t="s">
        <v>794</v>
      </c>
      <c r="C127" s="2" t="s">
        <v>202</v>
      </c>
      <c r="D127" s="2" t="s">
        <v>191</v>
      </c>
      <c r="E127" s="2" t="s">
        <v>795</v>
      </c>
      <c r="F127" s="2" t="s">
        <v>796</v>
      </c>
      <c r="G127" s="2" t="s">
        <v>797</v>
      </c>
      <c r="H127" s="2" t="s">
        <v>248</v>
      </c>
      <c r="I127" s="2" t="s">
        <v>42</v>
      </c>
      <c r="J127" s="2" t="s">
        <v>43</v>
      </c>
      <c r="K127" s="2" t="s">
        <v>36</v>
      </c>
      <c r="L127" s="2" t="s">
        <v>45</v>
      </c>
      <c r="M127" s="2" t="s">
        <v>45</v>
      </c>
      <c r="N127" s="2" t="s">
        <v>900</v>
      </c>
      <c r="O127" s="2"/>
    </row>
    <row r="128" spans="1:15" ht="216.75">
      <c r="A128" s="2" t="s">
        <v>798</v>
      </c>
      <c r="B128" s="2" t="s">
        <v>799</v>
      </c>
      <c r="C128" s="2" t="s">
        <v>190</v>
      </c>
      <c r="D128" s="2" t="s">
        <v>191</v>
      </c>
      <c r="E128" s="2" t="s">
        <v>800</v>
      </c>
      <c r="F128" s="2" t="s">
        <v>801</v>
      </c>
      <c r="G128" s="2" t="s">
        <v>802</v>
      </c>
      <c r="H128" s="2" t="s">
        <v>803</v>
      </c>
      <c r="I128" s="2" t="s">
        <v>42</v>
      </c>
      <c r="J128" s="2" t="s">
        <v>43</v>
      </c>
      <c r="K128" s="2" t="s">
        <v>36</v>
      </c>
      <c r="L128" s="2" t="s">
        <v>45</v>
      </c>
      <c r="M128" s="2" t="s">
        <v>45</v>
      </c>
      <c r="N128" s="2" t="s">
        <v>900</v>
      </c>
      <c r="O128" s="2"/>
    </row>
    <row r="129" spans="1:16" ht="216.75">
      <c r="A129" s="2" t="s">
        <v>804</v>
      </c>
      <c r="B129" s="2" t="s">
        <v>805</v>
      </c>
      <c r="C129" s="2" t="s">
        <v>190</v>
      </c>
      <c r="D129" s="2" t="s">
        <v>168</v>
      </c>
      <c r="E129" s="2" t="s">
        <v>806</v>
      </c>
      <c r="F129" s="2" t="s">
        <v>807</v>
      </c>
      <c r="G129" s="2" t="s">
        <v>808</v>
      </c>
      <c r="H129" s="2" t="s">
        <v>242</v>
      </c>
      <c r="I129" s="2" t="s">
        <v>42</v>
      </c>
      <c r="J129" s="2" t="s">
        <v>35</v>
      </c>
      <c r="K129" s="2" t="s">
        <v>44</v>
      </c>
      <c r="L129" s="2" t="s">
        <v>45</v>
      </c>
      <c r="M129" s="2" t="s">
        <v>45</v>
      </c>
      <c r="N129" s="2" t="s">
        <v>900</v>
      </c>
      <c r="O129" s="2"/>
    </row>
    <row r="130" spans="1:16" ht="200.25">
      <c r="A130" s="2" t="s">
        <v>809</v>
      </c>
      <c r="B130" s="2" t="s">
        <v>810</v>
      </c>
      <c r="C130" s="2" t="s">
        <v>202</v>
      </c>
      <c r="D130" s="2" t="s">
        <v>168</v>
      </c>
      <c r="E130" s="2" t="s">
        <v>811</v>
      </c>
      <c r="F130" s="2" t="s">
        <v>812</v>
      </c>
      <c r="G130" s="2" t="s">
        <v>813</v>
      </c>
      <c r="H130" s="2" t="s">
        <v>814</v>
      </c>
      <c r="I130" s="2" t="s">
        <v>42</v>
      </c>
      <c r="J130" s="2" t="s">
        <v>35</v>
      </c>
      <c r="K130" s="2" t="s">
        <v>44</v>
      </c>
      <c r="L130" s="2" t="s">
        <v>45</v>
      </c>
      <c r="M130" s="2" t="s">
        <v>45</v>
      </c>
      <c r="N130" s="2" t="s">
        <v>900</v>
      </c>
      <c r="O130" s="2"/>
    </row>
    <row r="131" spans="1:16" ht="200.25">
      <c r="A131" s="2" t="s">
        <v>815</v>
      </c>
      <c r="B131" s="2" t="s">
        <v>816</v>
      </c>
      <c r="C131" s="2" t="s">
        <v>233</v>
      </c>
      <c r="D131" s="2" t="s">
        <v>168</v>
      </c>
      <c r="E131" s="2" t="s">
        <v>817</v>
      </c>
      <c r="F131" s="2" t="s">
        <v>818</v>
      </c>
      <c r="G131" s="2" t="s">
        <v>819</v>
      </c>
      <c r="H131" s="2" t="s">
        <v>372</v>
      </c>
      <c r="I131" s="2" t="s">
        <v>42</v>
      </c>
      <c r="J131" s="2" t="s">
        <v>35</v>
      </c>
      <c r="K131" s="2" t="s">
        <v>44</v>
      </c>
      <c r="L131" s="2" t="s">
        <v>45</v>
      </c>
      <c r="M131" s="2" t="s">
        <v>45</v>
      </c>
      <c r="N131" s="2" t="s">
        <v>900</v>
      </c>
      <c r="O131" s="2"/>
    </row>
    <row r="132" spans="1:16" ht="150.75">
      <c r="A132" s="2" t="s">
        <v>820</v>
      </c>
      <c r="B132" s="2" t="s">
        <v>821</v>
      </c>
      <c r="C132" s="2" t="s">
        <v>190</v>
      </c>
      <c r="D132" s="2" t="s">
        <v>104</v>
      </c>
      <c r="E132" s="2" t="s">
        <v>822</v>
      </c>
      <c r="F132" s="2" t="s">
        <v>823</v>
      </c>
      <c r="G132" s="2" t="s">
        <v>824</v>
      </c>
      <c r="H132" s="2" t="s">
        <v>131</v>
      </c>
      <c r="I132" s="2" t="s">
        <v>42</v>
      </c>
      <c r="J132" s="2" t="s">
        <v>73</v>
      </c>
      <c r="K132" s="2" t="s">
        <v>36</v>
      </c>
      <c r="L132" s="2" t="s">
        <v>45</v>
      </c>
      <c r="M132" s="2" t="s">
        <v>45</v>
      </c>
      <c r="N132" s="2" t="s">
        <v>900</v>
      </c>
      <c r="O132" s="2"/>
    </row>
    <row r="133" spans="1:16" ht="200.25">
      <c r="A133" s="2" t="s">
        <v>825</v>
      </c>
      <c r="B133" s="2" t="s">
        <v>826</v>
      </c>
      <c r="C133" s="2" t="s">
        <v>233</v>
      </c>
      <c r="D133" s="2" t="s">
        <v>300</v>
      </c>
      <c r="E133" s="2" t="s">
        <v>827</v>
      </c>
      <c r="F133" s="2" t="s">
        <v>828</v>
      </c>
      <c r="G133" s="2" t="s">
        <v>829</v>
      </c>
      <c r="H133" s="2" t="s">
        <v>264</v>
      </c>
      <c r="I133" s="2" t="s">
        <v>34</v>
      </c>
      <c r="J133" s="2"/>
      <c r="K133" s="2" t="s">
        <v>36</v>
      </c>
      <c r="L133" s="2"/>
      <c r="M133" s="2" t="s">
        <v>45</v>
      </c>
      <c r="N133" s="2" t="s">
        <v>900</v>
      </c>
      <c r="O133" s="2"/>
    </row>
    <row r="134" spans="1:16" ht="200.25">
      <c r="A134" s="2" t="s">
        <v>830</v>
      </c>
      <c r="B134" s="2" t="s">
        <v>831</v>
      </c>
      <c r="C134" s="2" t="s">
        <v>202</v>
      </c>
      <c r="D134" s="2" t="s">
        <v>110</v>
      </c>
      <c r="E134" s="2" t="s">
        <v>832</v>
      </c>
      <c r="F134" s="2" t="s">
        <v>833</v>
      </c>
      <c r="G134" s="2" t="s">
        <v>834</v>
      </c>
      <c r="H134" s="2" t="s">
        <v>264</v>
      </c>
      <c r="I134" s="2" t="s">
        <v>34</v>
      </c>
      <c r="J134" s="2"/>
      <c r="K134" s="2" t="s">
        <v>36</v>
      </c>
      <c r="L134" s="2" t="s">
        <v>45</v>
      </c>
      <c r="M134" s="2" t="s">
        <v>45</v>
      </c>
      <c r="N134" s="2" t="s">
        <v>900</v>
      </c>
      <c r="O134" s="2" t="s">
        <v>920</v>
      </c>
    </row>
    <row r="135" spans="1:16" ht="200.25">
      <c r="A135" s="2" t="s">
        <v>835</v>
      </c>
      <c r="B135" s="2" t="s">
        <v>836</v>
      </c>
      <c r="C135" s="2" t="s">
        <v>157</v>
      </c>
      <c r="D135" s="2" t="s">
        <v>168</v>
      </c>
      <c r="E135" s="2" t="s">
        <v>837</v>
      </c>
      <c r="F135" s="2" t="s">
        <v>838</v>
      </c>
      <c r="G135" s="2" t="s">
        <v>839</v>
      </c>
      <c r="H135" s="2" t="s">
        <v>426</v>
      </c>
      <c r="I135" s="2" t="s">
        <v>42</v>
      </c>
      <c r="J135" s="2" t="s">
        <v>35</v>
      </c>
      <c r="K135" s="2" t="s">
        <v>44</v>
      </c>
      <c r="L135" s="2" t="s">
        <v>37</v>
      </c>
      <c r="M135" s="2" t="s">
        <v>37</v>
      </c>
      <c r="N135" s="2" t="s">
        <v>900</v>
      </c>
      <c r="O135" s="2" t="s">
        <v>921</v>
      </c>
    </row>
    <row r="136" spans="1:16" ht="200.25">
      <c r="A136" s="2" t="s">
        <v>840</v>
      </c>
      <c r="B136" s="2" t="s">
        <v>841</v>
      </c>
      <c r="C136" s="2" t="s">
        <v>202</v>
      </c>
      <c r="D136" s="2" t="s">
        <v>300</v>
      </c>
      <c r="E136" s="2" t="s">
        <v>842</v>
      </c>
      <c r="F136" s="2" t="s">
        <v>843</v>
      </c>
      <c r="G136" s="2" t="s">
        <v>844</v>
      </c>
      <c r="H136" s="2" t="s">
        <v>264</v>
      </c>
      <c r="I136" s="2" t="s">
        <v>34</v>
      </c>
      <c r="J136" s="2"/>
      <c r="K136" s="2" t="s">
        <v>36</v>
      </c>
      <c r="L136" s="2" t="s">
        <v>37</v>
      </c>
      <c r="M136" s="2" t="s">
        <v>37</v>
      </c>
      <c r="N136" s="2" t="s">
        <v>900</v>
      </c>
      <c r="O136" s="2" t="s">
        <v>922</v>
      </c>
    </row>
    <row r="137" spans="1:16" ht="200.25">
      <c r="A137" s="2" t="s">
        <v>845</v>
      </c>
      <c r="B137" s="2" t="s">
        <v>846</v>
      </c>
      <c r="C137" s="2" t="s">
        <v>202</v>
      </c>
      <c r="D137" s="2" t="s">
        <v>168</v>
      </c>
      <c r="E137" s="2" t="s">
        <v>847</v>
      </c>
      <c r="F137" s="2" t="s">
        <v>848</v>
      </c>
      <c r="G137" s="2" t="s">
        <v>849</v>
      </c>
      <c r="H137" s="2" t="s">
        <v>248</v>
      </c>
      <c r="I137" s="2" t="s">
        <v>42</v>
      </c>
      <c r="J137" s="2" t="s">
        <v>35</v>
      </c>
      <c r="K137" s="2" t="s">
        <v>36</v>
      </c>
      <c r="L137" s="2" t="s">
        <v>37</v>
      </c>
      <c r="M137" s="2" t="s">
        <v>37</v>
      </c>
      <c r="N137" s="2" t="s">
        <v>900</v>
      </c>
      <c r="O137" s="2" t="s">
        <v>923</v>
      </c>
    </row>
    <row r="138" spans="1:16" ht="200.25">
      <c r="A138" s="2" t="s">
        <v>850</v>
      </c>
      <c r="B138" s="2" t="s">
        <v>851</v>
      </c>
      <c r="C138" s="2" t="s">
        <v>190</v>
      </c>
      <c r="D138" s="2" t="s">
        <v>110</v>
      </c>
      <c r="E138" s="2" t="s">
        <v>852</v>
      </c>
      <c r="F138" s="2" t="s">
        <v>853</v>
      </c>
      <c r="G138" s="2" t="s">
        <v>854</v>
      </c>
      <c r="H138" s="2" t="s">
        <v>468</v>
      </c>
      <c r="I138" s="2" t="s">
        <v>34</v>
      </c>
      <c r="J138" s="2"/>
      <c r="K138" s="2" t="s">
        <v>36</v>
      </c>
      <c r="L138" s="2" t="s">
        <v>37</v>
      </c>
      <c r="M138" s="2" t="s">
        <v>37</v>
      </c>
      <c r="N138" s="2" t="s">
        <v>900</v>
      </c>
      <c r="O138" s="2" t="s">
        <v>912</v>
      </c>
    </row>
    <row r="139" spans="1:16" ht="200.25">
      <c r="A139" s="2" t="s">
        <v>856</v>
      </c>
      <c r="B139" s="2" t="s">
        <v>857</v>
      </c>
      <c r="C139" s="2" t="s">
        <v>202</v>
      </c>
      <c r="D139" s="2" t="s">
        <v>110</v>
      </c>
      <c r="E139" s="2" t="s">
        <v>858</v>
      </c>
      <c r="F139" s="2" t="s">
        <v>859</v>
      </c>
      <c r="G139" s="2" t="s">
        <v>860</v>
      </c>
      <c r="H139" s="2" t="s">
        <v>242</v>
      </c>
      <c r="I139" s="2" t="s">
        <v>42</v>
      </c>
      <c r="J139" s="2" t="s">
        <v>35</v>
      </c>
      <c r="K139" s="2" t="s">
        <v>36</v>
      </c>
      <c r="L139" s="2" t="s">
        <v>37</v>
      </c>
      <c r="M139" s="2" t="s">
        <v>37</v>
      </c>
      <c r="N139" s="2" t="s">
        <v>900</v>
      </c>
      <c r="O139" s="2" t="s">
        <v>924</v>
      </c>
    </row>
    <row r="140" spans="1:16" ht="409.6">
      <c r="A140" s="2" t="s">
        <v>861</v>
      </c>
      <c r="B140" s="2" t="s">
        <v>862</v>
      </c>
      <c r="C140" s="2" t="s">
        <v>157</v>
      </c>
      <c r="D140" s="2" t="s">
        <v>267</v>
      </c>
      <c r="E140" s="2" t="s">
        <v>863</v>
      </c>
      <c r="F140" s="2" t="s">
        <v>864</v>
      </c>
      <c r="G140" s="2" t="s">
        <v>865</v>
      </c>
      <c r="H140" s="2" t="s">
        <v>405</v>
      </c>
      <c r="I140" s="2" t="s">
        <v>34</v>
      </c>
      <c r="J140" s="2"/>
      <c r="K140" s="2" t="s">
        <v>36</v>
      </c>
      <c r="L140" s="2" t="s">
        <v>37</v>
      </c>
      <c r="M140" s="2" t="s">
        <v>37</v>
      </c>
      <c r="N140" s="2" t="s">
        <v>900</v>
      </c>
      <c r="O140" s="2" t="s">
        <v>925</v>
      </c>
      <c r="P140" s="13" t="s">
        <v>926</v>
      </c>
    </row>
    <row r="141" spans="1:16" ht="200.25">
      <c r="A141" s="2" t="s">
        <v>866</v>
      </c>
      <c r="B141" s="2" t="s">
        <v>867</v>
      </c>
      <c r="C141" s="2" t="s">
        <v>141</v>
      </c>
      <c r="D141" s="2" t="s">
        <v>300</v>
      </c>
      <c r="E141" s="2" t="s">
        <v>868</v>
      </c>
      <c r="F141" s="2" t="s">
        <v>869</v>
      </c>
      <c r="G141" s="2" t="s">
        <v>870</v>
      </c>
      <c r="H141" s="2" t="s">
        <v>637</v>
      </c>
      <c r="I141" s="2" t="s">
        <v>42</v>
      </c>
      <c r="J141" s="2" t="s">
        <v>43</v>
      </c>
      <c r="K141" s="2" t="s">
        <v>36</v>
      </c>
      <c r="L141" s="2" t="s">
        <v>37</v>
      </c>
      <c r="M141" s="2" t="s">
        <v>37</v>
      </c>
      <c r="N141" s="2" t="s">
        <v>900</v>
      </c>
      <c r="O141" s="11" t="s">
        <v>927</v>
      </c>
    </row>
    <row r="142" spans="1:16" ht="200.25">
      <c r="A142" s="2" t="s">
        <v>871</v>
      </c>
      <c r="B142" s="2" t="s">
        <v>872</v>
      </c>
      <c r="C142" s="2" t="s">
        <v>233</v>
      </c>
      <c r="D142" s="2" t="s">
        <v>110</v>
      </c>
      <c r="E142" s="2" t="s">
        <v>873</v>
      </c>
      <c r="F142" s="2" t="s">
        <v>874</v>
      </c>
      <c r="G142" s="2" t="s">
        <v>875</v>
      </c>
      <c r="H142" s="2" t="s">
        <v>468</v>
      </c>
      <c r="I142" s="2" t="s">
        <v>34</v>
      </c>
      <c r="J142" s="2"/>
      <c r="K142" s="2" t="s">
        <v>36</v>
      </c>
      <c r="L142" s="2" t="s">
        <v>37</v>
      </c>
      <c r="M142" s="2" t="s">
        <v>37</v>
      </c>
      <c r="N142" s="2" t="s">
        <v>900</v>
      </c>
      <c r="O142" s="2" t="s">
        <v>928</v>
      </c>
    </row>
    <row r="143" spans="1:16" ht="200.25">
      <c r="A143" s="2" t="s">
        <v>877</v>
      </c>
      <c r="B143" s="2" t="s">
        <v>878</v>
      </c>
      <c r="C143" s="2" t="s">
        <v>233</v>
      </c>
      <c r="D143" s="2" t="s">
        <v>110</v>
      </c>
      <c r="E143" s="2" t="s">
        <v>879</v>
      </c>
      <c r="F143" s="2" t="s">
        <v>880</v>
      </c>
      <c r="G143" s="2" t="s">
        <v>881</v>
      </c>
      <c r="H143" s="2" t="s">
        <v>468</v>
      </c>
      <c r="I143" s="2" t="s">
        <v>34</v>
      </c>
      <c r="J143" s="2"/>
      <c r="K143" s="2" t="s">
        <v>36</v>
      </c>
      <c r="L143" s="2" t="s">
        <v>37</v>
      </c>
      <c r="M143" s="2" t="s">
        <v>37</v>
      </c>
      <c r="N143" s="2" t="s">
        <v>900</v>
      </c>
      <c r="O143" s="2" t="s">
        <v>929</v>
      </c>
    </row>
    <row r="144" spans="1:16" ht="200.25">
      <c r="A144" s="2" t="s">
        <v>883</v>
      </c>
      <c r="B144" s="2" t="s">
        <v>884</v>
      </c>
      <c r="C144" s="2" t="s">
        <v>202</v>
      </c>
      <c r="D144" s="2" t="s">
        <v>191</v>
      </c>
      <c r="E144" s="2" t="s">
        <v>885</v>
      </c>
      <c r="F144" s="2" t="s">
        <v>886</v>
      </c>
      <c r="G144" s="2" t="s">
        <v>887</v>
      </c>
      <c r="H144" s="2" t="s">
        <v>248</v>
      </c>
      <c r="I144" s="2" t="s">
        <v>42</v>
      </c>
      <c r="J144" s="2" t="s">
        <v>43</v>
      </c>
      <c r="K144" s="2" t="s">
        <v>36</v>
      </c>
      <c r="L144" s="2" t="s">
        <v>45</v>
      </c>
      <c r="M144" s="2" t="s">
        <v>45</v>
      </c>
      <c r="N144" s="2" t="s">
        <v>900</v>
      </c>
      <c r="O144" s="2" t="s">
        <v>909</v>
      </c>
    </row>
    <row r="145" spans="1:15" ht="200.25">
      <c r="A145" s="2" t="s">
        <v>888</v>
      </c>
      <c r="B145" s="2" t="s">
        <v>889</v>
      </c>
      <c r="C145" s="2" t="s">
        <v>233</v>
      </c>
      <c r="D145" s="2" t="s">
        <v>110</v>
      </c>
      <c r="E145" s="2" t="s">
        <v>890</v>
      </c>
      <c r="F145" s="2" t="s">
        <v>891</v>
      </c>
      <c r="G145" s="2" t="s">
        <v>892</v>
      </c>
      <c r="H145" s="2" t="s">
        <v>264</v>
      </c>
      <c r="I145" s="2" t="s">
        <v>34</v>
      </c>
      <c r="J145" s="2"/>
      <c r="K145" s="2" t="s">
        <v>36</v>
      </c>
      <c r="L145" s="2" t="s">
        <v>45</v>
      </c>
      <c r="M145" s="2" t="s">
        <v>45</v>
      </c>
      <c r="N145" s="2" t="s">
        <v>900</v>
      </c>
      <c r="O145" s="2" t="s">
        <v>912</v>
      </c>
    </row>
    <row r="146" spans="1:15" ht="200.25">
      <c r="A146" s="2" t="s">
        <v>894</v>
      </c>
      <c r="B146" s="2" t="s">
        <v>895</v>
      </c>
      <c r="C146" s="2" t="s">
        <v>167</v>
      </c>
      <c r="D146" s="2" t="s">
        <v>110</v>
      </c>
      <c r="E146" s="2" t="s">
        <v>896</v>
      </c>
      <c r="F146" s="2" t="s">
        <v>897</v>
      </c>
      <c r="G146" s="2" t="s">
        <v>898</v>
      </c>
      <c r="H146" s="2" t="s">
        <v>242</v>
      </c>
      <c r="I146" s="2" t="s">
        <v>42</v>
      </c>
      <c r="J146" s="2" t="s">
        <v>35</v>
      </c>
      <c r="K146" s="2" t="s">
        <v>36</v>
      </c>
      <c r="L146" s="2" t="s">
        <v>45</v>
      </c>
      <c r="M146" s="2" t="s">
        <v>45</v>
      </c>
      <c r="N146" s="2" t="s">
        <v>900</v>
      </c>
      <c r="O146" s="2" t="s">
        <v>908</v>
      </c>
    </row>
    <row r="148" spans="1:15" ht="14.25">
      <c r="I148" s="10">
        <f>COUNTIF(I2:I146,"*Include*")</f>
        <v>35</v>
      </c>
    </row>
  </sheetData>
  <hyperlinks>
    <hyperlink ref="O141" r:id="rId1" display="https://doi.org/10.7326/M18-1376" xr:uid="{44943399-D203-42B6-AE32-0C4CB0CC8128}"/>
    <hyperlink ref="O122" r:id="rId2" xr:uid="{C759B8E0-B336-499A-B1EA-6346F3975D99}"/>
    <hyperlink ref="O74" r:id="rId3" xr:uid="{5AB525F1-24DA-4A68-A2D6-551E12FCE3F6}"/>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4">
        <x14:dataValidation type="list" xr:uid="{00000000-0002-0000-0400-000000000000}">
          <x14:formula1>
            <xm:f>Data_Dictionary!$A$2:$A$4</xm:f>
          </x14:formula1>
          <xm:sqref>I2:I146</xm:sqref>
        </x14:dataValidation>
        <x14:dataValidation type="list" xr:uid="{00000000-0002-0000-0400-000001000000}">
          <x14:formula1>
            <xm:f>Data_Dictionary!$B$2:$B$11</xm:f>
          </x14:formula1>
          <xm:sqref>J2:J26 J28:J146</xm:sqref>
        </x14:dataValidation>
        <x14:dataValidation type="list" xr:uid="{00000000-0002-0000-0400-000002000000}">
          <x14:formula1>
            <xm:f>Data_Dictionary!$C$2:$C$4</xm:f>
          </x14:formula1>
          <xm:sqref>K2:K146</xm:sqref>
        </x14:dataValidation>
        <x14:dataValidation type="list" xr:uid="{00000000-0002-0000-0400-000003000000}">
          <x14:formula1>
            <xm:f>Data_Dictionary!$D$2:$D$5</xm:f>
          </x14:formula1>
          <xm:sqref>L2:M146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46"/>
  <sheetViews>
    <sheetView workbookViewId="0"/>
  </sheetViews>
  <sheetFormatPr defaultRowHeight="14.1"/>
  <cols>
    <col min="1" max="1" width="10" customWidth="1"/>
    <col min="2" max="2" width="18" customWidth="1"/>
    <col min="3" max="3" width="8" customWidth="1"/>
    <col min="4" max="4" width="25" customWidth="1"/>
    <col min="5" max="5" width="48" customWidth="1"/>
    <col min="6" max="8" width="14" customWidth="1"/>
    <col min="9" max="10" width="28" customWidth="1"/>
    <col min="11" max="11" width="18" customWidth="1"/>
    <col min="12" max="12" width="36" customWidth="1"/>
    <col min="13" max="13" width="50" customWidth="1"/>
  </cols>
  <sheetData>
    <row r="1" spans="1:13" ht="20.65" customHeight="1">
      <c r="A1" s="3" t="s">
        <v>112</v>
      </c>
      <c r="B1" s="3" t="s">
        <v>113</v>
      </c>
      <c r="C1" s="3" t="s">
        <v>114</v>
      </c>
      <c r="D1" s="3" t="s">
        <v>116</v>
      </c>
      <c r="E1" s="3" t="s">
        <v>117</v>
      </c>
      <c r="F1" s="3" t="s">
        <v>930</v>
      </c>
      <c r="G1" s="3" t="s">
        <v>931</v>
      </c>
      <c r="H1" s="3" t="s">
        <v>932</v>
      </c>
      <c r="I1" s="3" t="s">
        <v>933</v>
      </c>
      <c r="J1" s="3" t="s">
        <v>934</v>
      </c>
      <c r="K1" s="3" t="s">
        <v>935</v>
      </c>
      <c r="L1" s="3" t="s">
        <v>936</v>
      </c>
      <c r="M1" s="3" t="s">
        <v>937</v>
      </c>
    </row>
    <row r="2" spans="1:13" ht="70.7">
      <c r="A2" s="2" t="s">
        <v>126</v>
      </c>
      <c r="B2" s="2" t="s">
        <v>127</v>
      </c>
      <c r="C2" s="2" t="s">
        <v>128</v>
      </c>
      <c r="D2" s="2" t="s">
        <v>129</v>
      </c>
      <c r="E2" s="2" t="s">
        <v>130</v>
      </c>
      <c r="F2" s="2" t="str">
        <f>Eligibility_R1!I2</f>
        <v>Exclude</v>
      </c>
      <c r="G2" s="2" t="str">
        <f>Eligibility_R2!I2</f>
        <v>Exclude</v>
      </c>
      <c r="H2" s="2" t="str">
        <f t="shared" ref="H2:H33" si="0">IF(OR(F2="",G2=""),"Pending",IF(F2=G2,"Agree","Conflict"))</f>
        <v>Agree</v>
      </c>
      <c r="I2" s="2" t="str">
        <f>Eligibility_R1!J2</f>
        <v>Abstract book/poster compilation</v>
      </c>
      <c r="J2" s="2" t="str">
        <f>Eligibility_R2!J2</f>
        <v>Abstract book/poster compilation</v>
      </c>
      <c r="K2" s="2"/>
      <c r="L2" s="2"/>
      <c r="M2" s="2"/>
    </row>
    <row r="3" spans="1:13" ht="70.7">
      <c r="A3" s="2" t="s">
        <v>133</v>
      </c>
      <c r="B3" s="2" t="s">
        <v>134</v>
      </c>
      <c r="C3" s="2" t="s">
        <v>135</v>
      </c>
      <c r="D3" s="2" t="s">
        <v>136</v>
      </c>
      <c r="E3" s="2" t="s">
        <v>137</v>
      </c>
      <c r="F3" s="2" t="str">
        <f>Eligibility_R1!I3</f>
        <v>Exclude</v>
      </c>
      <c r="G3" s="2" t="str">
        <f>Eligibility_R2!I3</f>
        <v>Exclude</v>
      </c>
      <c r="H3" s="2" t="str">
        <f t="shared" si="0"/>
        <v>Agree</v>
      </c>
      <c r="I3" s="2" t="str">
        <f>Eligibility_R1!J3</f>
        <v>Not ML/AI</v>
      </c>
      <c r="J3" s="2" t="str">
        <f>Eligibility_R2!J3</f>
        <v>Abstract book/poster compilation</v>
      </c>
      <c r="K3" s="2"/>
      <c r="L3" s="2"/>
      <c r="M3" s="2"/>
    </row>
    <row r="4" spans="1:13" ht="70.7">
      <c r="A4" s="2" t="s">
        <v>139</v>
      </c>
      <c r="B4" s="2" t="s">
        <v>140</v>
      </c>
      <c r="C4" s="2" t="s">
        <v>141</v>
      </c>
      <c r="D4" s="2" t="s">
        <v>142</v>
      </c>
      <c r="E4" s="2" t="s">
        <v>143</v>
      </c>
      <c r="F4" s="2" t="str">
        <f>Eligibility_R1!I4</f>
        <v>Exclude</v>
      </c>
      <c r="G4" s="2" t="str">
        <f>Eligibility_R2!I4</f>
        <v>Exclude</v>
      </c>
      <c r="H4" s="2" t="str">
        <f t="shared" si="0"/>
        <v>Agree</v>
      </c>
      <c r="I4" s="2" t="str">
        <f>Eligibility_R1!J4</f>
        <v>Abstract book/poster compilation</v>
      </c>
      <c r="J4" s="2" t="str">
        <f>Eligibility_R2!J4</f>
        <v>Abstract book/poster compilation</v>
      </c>
      <c r="K4" s="2"/>
      <c r="L4" s="2"/>
      <c r="M4" s="2"/>
    </row>
    <row r="5" spans="1:13" ht="70.7">
      <c r="A5" s="2" t="s">
        <v>145</v>
      </c>
      <c r="B5" s="2" t="s">
        <v>146</v>
      </c>
      <c r="C5" s="2" t="s">
        <v>141</v>
      </c>
      <c r="D5" s="2" t="s">
        <v>147</v>
      </c>
      <c r="E5" s="2" t="s">
        <v>148</v>
      </c>
      <c r="F5" s="2" t="str">
        <f>Eligibility_R1!I5</f>
        <v>Exclude</v>
      </c>
      <c r="G5" s="2" t="str">
        <f>Eligibility_R2!I5</f>
        <v>Exclude</v>
      </c>
      <c r="H5" s="2" t="str">
        <f t="shared" si="0"/>
        <v>Agree</v>
      </c>
      <c r="I5" s="2" t="str">
        <f>Eligibility_R1!J5</f>
        <v>Abstract book/poster compilation</v>
      </c>
      <c r="J5" s="2" t="str">
        <f>Eligibility_R2!J5</f>
        <v>Abstract book/poster compilation</v>
      </c>
      <c r="K5" s="2"/>
      <c r="L5" s="2"/>
      <c r="M5" s="2"/>
    </row>
    <row r="6" spans="1:13" ht="70.7">
      <c r="A6" s="2" t="s">
        <v>150</v>
      </c>
      <c r="B6" s="2" t="s">
        <v>151</v>
      </c>
      <c r="C6" s="2" t="s">
        <v>152</v>
      </c>
      <c r="D6" s="2" t="s">
        <v>153</v>
      </c>
      <c r="E6" s="2" t="s">
        <v>154</v>
      </c>
      <c r="F6" s="2" t="str">
        <f>Eligibility_R1!I6</f>
        <v>Exclude</v>
      </c>
      <c r="G6" s="2" t="str">
        <f>Eligibility_R2!I6</f>
        <v>Exclude</v>
      </c>
      <c r="H6" s="2" t="str">
        <f t="shared" si="0"/>
        <v>Agree</v>
      </c>
      <c r="I6" s="2" t="str">
        <f>Eligibility_R1!J6</f>
        <v>Abstract book/poster compilation</v>
      </c>
      <c r="J6" s="2" t="str">
        <f>Eligibility_R2!J6</f>
        <v>Abstract book/poster compilation</v>
      </c>
      <c r="K6" s="2"/>
      <c r="L6" s="2"/>
      <c r="M6" s="2"/>
    </row>
    <row r="7" spans="1:13" ht="70.7">
      <c r="A7" s="2" t="s">
        <v>155</v>
      </c>
      <c r="B7" s="2" t="s">
        <v>156</v>
      </c>
      <c r="C7" s="2" t="s">
        <v>157</v>
      </c>
      <c r="D7" s="2" t="s">
        <v>158</v>
      </c>
      <c r="E7" s="2" t="s">
        <v>159</v>
      </c>
      <c r="F7" s="2" t="str">
        <f>Eligibility_R1!I7</f>
        <v>Exclude</v>
      </c>
      <c r="G7" s="2" t="str">
        <f>Eligibility_R2!I7</f>
        <v>Exclude</v>
      </c>
      <c r="H7" s="2" t="str">
        <f t="shared" si="0"/>
        <v>Agree</v>
      </c>
      <c r="I7" s="2" t="str">
        <f>Eligibility_R1!J7</f>
        <v>Abstract book/poster compilation</v>
      </c>
      <c r="J7" s="2" t="str">
        <f>Eligibility_R2!J7</f>
        <v>Abstract book/poster compilation</v>
      </c>
      <c r="K7" s="2"/>
      <c r="L7" s="2"/>
      <c r="M7" s="2"/>
    </row>
    <row r="8" spans="1:13" ht="70.7">
      <c r="A8" s="2" t="s">
        <v>161</v>
      </c>
      <c r="B8" s="2" t="s">
        <v>162</v>
      </c>
      <c r="C8" s="2" t="s">
        <v>157</v>
      </c>
      <c r="D8" s="2" t="s">
        <v>163</v>
      </c>
      <c r="E8" s="2" t="s">
        <v>164</v>
      </c>
      <c r="F8" s="2" t="str">
        <f>Eligibility_R1!I8</f>
        <v>Exclude</v>
      </c>
      <c r="G8" s="2" t="str">
        <f>Eligibility_R2!I8</f>
        <v>Exclude</v>
      </c>
      <c r="H8" s="2" t="str">
        <f t="shared" si="0"/>
        <v>Agree</v>
      </c>
      <c r="I8" s="2" t="str">
        <f>Eligibility_R1!J8</f>
        <v>Abstract book/poster compilation</v>
      </c>
      <c r="J8" s="2" t="str">
        <f>Eligibility_R2!J8</f>
        <v>Abstract book/poster compilation</v>
      </c>
      <c r="K8" s="2"/>
      <c r="L8" s="2"/>
      <c r="M8" s="2"/>
    </row>
    <row r="9" spans="1:13" ht="70.7">
      <c r="A9" s="2" t="s">
        <v>166</v>
      </c>
      <c r="B9" s="2" t="s">
        <v>167</v>
      </c>
      <c r="C9" s="2" t="s">
        <v>167</v>
      </c>
      <c r="D9" s="2" t="s">
        <v>169</v>
      </c>
      <c r="E9" s="2" t="s">
        <v>170</v>
      </c>
      <c r="F9" s="2" t="str">
        <f>Eligibility_R1!I9</f>
        <v>Exclude</v>
      </c>
      <c r="G9" s="2" t="str">
        <f>Eligibility_R2!I9</f>
        <v>Exclude</v>
      </c>
      <c r="H9" s="2" t="str">
        <f t="shared" si="0"/>
        <v>Agree</v>
      </c>
      <c r="I9" s="2" t="str">
        <f>Eligibility_R1!J9</f>
        <v>Abstract book/poster compilation</v>
      </c>
      <c r="J9" s="2" t="str">
        <f>Eligibility_R2!J9</f>
        <v>Abstract book/poster compilation</v>
      </c>
      <c r="K9" s="2"/>
      <c r="L9" s="2"/>
      <c r="M9" s="2"/>
    </row>
    <row r="10" spans="1:13" ht="84.95">
      <c r="A10" s="2" t="s">
        <v>171</v>
      </c>
      <c r="B10" s="2" t="s">
        <v>172</v>
      </c>
      <c r="C10" s="2" t="s">
        <v>167</v>
      </c>
      <c r="D10" s="2" t="s">
        <v>173</v>
      </c>
      <c r="E10" s="2" t="s">
        <v>174</v>
      </c>
      <c r="F10" s="2" t="str">
        <f>Eligibility_R1!I10</f>
        <v>Exclude</v>
      </c>
      <c r="G10" s="2" t="str">
        <f>Eligibility_R2!I10</f>
        <v>Exclude</v>
      </c>
      <c r="H10" s="2" t="str">
        <f t="shared" si="0"/>
        <v>Agree</v>
      </c>
      <c r="I10" s="2" t="str">
        <f>Eligibility_R1!J10</f>
        <v>Abstract book/poster compilation</v>
      </c>
      <c r="J10" s="2" t="str">
        <f>Eligibility_R2!J10</f>
        <v>Abstract book/poster compilation</v>
      </c>
      <c r="K10" s="2"/>
      <c r="L10" s="2"/>
      <c r="M10" s="2"/>
    </row>
    <row r="11" spans="1:13" ht="84.95">
      <c r="A11" s="2" t="s">
        <v>176</v>
      </c>
      <c r="B11" s="2" t="s">
        <v>177</v>
      </c>
      <c r="C11" s="2" t="s">
        <v>167</v>
      </c>
      <c r="D11" s="2" t="s">
        <v>178</v>
      </c>
      <c r="E11" s="2" t="s">
        <v>137</v>
      </c>
      <c r="F11" s="2" t="str">
        <f>Eligibility_R1!I11</f>
        <v>Exclude</v>
      </c>
      <c r="G11" s="2" t="str">
        <f>Eligibility_R2!I11</f>
        <v>Exclude</v>
      </c>
      <c r="H11" s="2" t="str">
        <f t="shared" si="0"/>
        <v>Agree</v>
      </c>
      <c r="I11" s="2" t="str">
        <f>Eligibility_R1!J11</f>
        <v>Abstract book/poster compilation</v>
      </c>
      <c r="J11" s="2" t="str">
        <f>Eligibility_R2!J11</f>
        <v>Abstract book/poster compilation</v>
      </c>
      <c r="K11" s="2"/>
      <c r="L11" s="2"/>
      <c r="M11" s="2"/>
    </row>
    <row r="12" spans="1:13" ht="84.95">
      <c r="A12" s="2" t="s">
        <v>180</v>
      </c>
      <c r="B12" s="2" t="s">
        <v>177</v>
      </c>
      <c r="C12" s="2" t="s">
        <v>167</v>
      </c>
      <c r="D12" s="2" t="s">
        <v>181</v>
      </c>
      <c r="E12" s="2" t="s">
        <v>182</v>
      </c>
      <c r="F12" s="2" t="str">
        <f>Eligibility_R1!I12</f>
        <v>Exclude</v>
      </c>
      <c r="G12" s="2" t="str">
        <f>Eligibility_R2!I12</f>
        <v>Exclude</v>
      </c>
      <c r="H12" s="2" t="str">
        <f t="shared" si="0"/>
        <v>Agree</v>
      </c>
      <c r="I12" s="2" t="str">
        <f>Eligibility_R1!J12</f>
        <v>Abstract book/poster compilation</v>
      </c>
      <c r="J12" s="2" t="str">
        <f>Eligibility_R2!J12</f>
        <v>Abstract book/poster compilation</v>
      </c>
      <c r="K12" s="2"/>
      <c r="L12" s="2"/>
      <c r="M12" s="2"/>
    </row>
    <row r="13" spans="1:13" ht="84.95">
      <c r="A13" s="2" t="s">
        <v>184</v>
      </c>
      <c r="B13" s="2" t="s">
        <v>185</v>
      </c>
      <c r="C13" s="2" t="s">
        <v>167</v>
      </c>
      <c r="D13" s="2" t="s">
        <v>186</v>
      </c>
      <c r="E13" s="2" t="s">
        <v>187</v>
      </c>
      <c r="F13" s="2" t="str">
        <f>Eligibility_R1!I13</f>
        <v>Exclude</v>
      </c>
      <c r="G13" s="2" t="str">
        <f>Eligibility_R2!I13</f>
        <v>Exclude</v>
      </c>
      <c r="H13" s="2" t="str">
        <f t="shared" si="0"/>
        <v>Agree</v>
      </c>
      <c r="I13" s="2" t="str">
        <f>Eligibility_R1!J13</f>
        <v>Abstract book/poster compilation</v>
      </c>
      <c r="J13" s="2" t="str">
        <f>Eligibility_R2!J13</f>
        <v>Abstract book/poster compilation</v>
      </c>
      <c r="K13" s="2"/>
      <c r="L13" s="2"/>
      <c r="M13" s="2"/>
    </row>
    <row r="14" spans="1:13" ht="70.7">
      <c r="A14" s="2" t="s">
        <v>189</v>
      </c>
      <c r="B14" s="2" t="s">
        <v>190</v>
      </c>
      <c r="C14" s="2" t="s">
        <v>190</v>
      </c>
      <c r="D14" s="2" t="s">
        <v>192</v>
      </c>
      <c r="E14" s="2" t="s">
        <v>193</v>
      </c>
      <c r="F14" s="2" t="str">
        <f>Eligibility_R1!I14</f>
        <v>Exclude</v>
      </c>
      <c r="G14" s="2" t="str">
        <f>Eligibility_R2!I14</f>
        <v>Exclude</v>
      </c>
      <c r="H14" s="2" t="str">
        <f t="shared" si="0"/>
        <v>Agree</v>
      </c>
      <c r="I14" s="2" t="str">
        <f>Eligibility_R1!J14</f>
        <v>Not ML/AI</v>
      </c>
      <c r="J14" s="2" t="str">
        <f>Eligibility_R2!J14</f>
        <v>Abstract book/poster compilation</v>
      </c>
      <c r="K14" s="2"/>
      <c r="L14" s="2"/>
      <c r="M14" s="2"/>
    </row>
    <row r="15" spans="1:13" ht="70.7">
      <c r="A15" s="2" t="s">
        <v>195</v>
      </c>
      <c r="B15" s="2" t="s">
        <v>196</v>
      </c>
      <c r="C15" s="2" t="s">
        <v>190</v>
      </c>
      <c r="D15" s="2" t="s">
        <v>197</v>
      </c>
      <c r="E15" s="2" t="s">
        <v>198</v>
      </c>
      <c r="F15" s="2" t="str">
        <f>Eligibility_R1!I15</f>
        <v>Exclude</v>
      </c>
      <c r="G15" s="2" t="str">
        <f>Eligibility_R2!I15</f>
        <v>Exclude</v>
      </c>
      <c r="H15" s="2" t="str">
        <f t="shared" si="0"/>
        <v>Agree</v>
      </c>
      <c r="I15" s="2" t="str">
        <f>Eligibility_R1!J15</f>
        <v>Abstract book/poster compilation</v>
      </c>
      <c r="J15" s="2" t="str">
        <f>Eligibility_R2!J15</f>
        <v>Abstract book/poster compilation</v>
      </c>
      <c r="K15" s="2"/>
      <c r="L15" s="2"/>
      <c r="M15" s="2"/>
    </row>
    <row r="16" spans="1:13" ht="70.7">
      <c r="A16" s="2" t="s">
        <v>200</v>
      </c>
      <c r="B16" s="2" t="s">
        <v>201</v>
      </c>
      <c r="C16" s="2" t="s">
        <v>202</v>
      </c>
      <c r="D16" s="2" t="s">
        <v>203</v>
      </c>
      <c r="E16" s="2" t="s">
        <v>204</v>
      </c>
      <c r="F16" s="2" t="str">
        <f>Eligibility_R1!I16</f>
        <v>Exclude</v>
      </c>
      <c r="G16" s="2" t="str">
        <f>Eligibility_R2!I16</f>
        <v>Exclude</v>
      </c>
      <c r="H16" s="2" t="str">
        <f t="shared" si="0"/>
        <v>Agree</v>
      </c>
      <c r="I16" s="2" t="str">
        <f>Eligibility_R1!J16</f>
        <v>Abstract book/poster compilation</v>
      </c>
      <c r="J16" s="2" t="str">
        <f>Eligibility_R2!J16</f>
        <v>Abstract book/poster compilation</v>
      </c>
      <c r="K16" s="2"/>
      <c r="L16" s="2"/>
      <c r="M16" s="2"/>
    </row>
    <row r="17" spans="1:13" ht="84.95">
      <c r="A17" s="2" t="s">
        <v>206</v>
      </c>
      <c r="B17" s="2" t="s">
        <v>207</v>
      </c>
      <c r="C17" s="2" t="s">
        <v>202</v>
      </c>
      <c r="D17" s="2" t="s">
        <v>208</v>
      </c>
      <c r="E17" s="2" t="s">
        <v>209</v>
      </c>
      <c r="F17" s="2" t="str">
        <f>Eligibility_R1!I17</f>
        <v xml:space="preserve">Manual </v>
      </c>
      <c r="G17" s="2" t="str">
        <f>Eligibility_R2!I17</f>
        <v>Exclude</v>
      </c>
      <c r="H17" s="2" t="str">
        <f t="shared" si="0"/>
        <v>Conflict</v>
      </c>
      <c r="I17" s="2" t="str">
        <f>Eligibility_R1!J17</f>
        <v>Abstract book/poster compilation</v>
      </c>
      <c r="J17" s="2" t="str">
        <f>Eligibility_R2!J17</f>
        <v>Not ML/AI</v>
      </c>
      <c r="K17" s="2"/>
      <c r="L17" s="2"/>
      <c r="M17" s="2"/>
    </row>
    <row r="18" spans="1:13" ht="70.7">
      <c r="A18" s="2" t="s">
        <v>213</v>
      </c>
      <c r="B18" s="2" t="s">
        <v>207</v>
      </c>
      <c r="C18" s="2" t="s">
        <v>202</v>
      </c>
      <c r="D18" s="2" t="s">
        <v>214</v>
      </c>
      <c r="E18" s="2" t="s">
        <v>215</v>
      </c>
      <c r="F18" s="2" t="str">
        <f>Eligibility_R1!I18</f>
        <v>Exclude</v>
      </c>
      <c r="G18" s="2" t="str">
        <f>Eligibility_R2!I18</f>
        <v>Exclude</v>
      </c>
      <c r="H18" s="2" t="str">
        <f t="shared" si="0"/>
        <v>Agree</v>
      </c>
      <c r="I18" s="2" t="str">
        <f>Eligibility_R1!J18</f>
        <v>Abstract book/poster compilation</v>
      </c>
      <c r="J18" s="2" t="str">
        <f>Eligibility_R2!J18</f>
        <v>Abstract book/poster compilation</v>
      </c>
      <c r="K18" s="2"/>
      <c r="L18" s="2"/>
      <c r="M18" s="2"/>
    </row>
    <row r="19" spans="1:13" ht="70.7">
      <c r="A19" s="2" t="s">
        <v>216</v>
      </c>
      <c r="B19" s="2" t="s">
        <v>217</v>
      </c>
      <c r="C19" s="2" t="s">
        <v>202</v>
      </c>
      <c r="D19" s="2" t="s">
        <v>218</v>
      </c>
      <c r="E19" s="2" t="s">
        <v>219</v>
      </c>
      <c r="F19" s="2" t="str">
        <f>Eligibility_R1!I19</f>
        <v>Exclude</v>
      </c>
      <c r="G19" s="2" t="str">
        <f>Eligibility_R2!I19</f>
        <v>Exclude</v>
      </c>
      <c r="H19" s="2" t="str">
        <f t="shared" si="0"/>
        <v>Agree</v>
      </c>
      <c r="I19" s="2" t="str">
        <f>Eligibility_R1!J19</f>
        <v>Abstract book/poster compilation</v>
      </c>
      <c r="J19" s="2" t="str">
        <f>Eligibility_R2!J19</f>
        <v>Abstract book/poster compilation</v>
      </c>
      <c r="K19" s="2"/>
      <c r="L19" s="2"/>
      <c r="M19" s="2"/>
    </row>
    <row r="20" spans="1:13" ht="70.7">
      <c r="A20" s="2" t="s">
        <v>221</v>
      </c>
      <c r="B20" s="2" t="s">
        <v>222</v>
      </c>
      <c r="C20" s="2" t="s">
        <v>202</v>
      </c>
      <c r="D20" s="2" t="s">
        <v>223</v>
      </c>
      <c r="E20" s="2" t="s">
        <v>224</v>
      </c>
      <c r="F20" s="2" t="str">
        <f>Eligibility_R1!I20</f>
        <v>Exclude</v>
      </c>
      <c r="G20" s="2" t="str">
        <f>Eligibility_R2!I20</f>
        <v>Exclude</v>
      </c>
      <c r="H20" s="2" t="str">
        <f t="shared" si="0"/>
        <v>Agree</v>
      </c>
      <c r="I20" s="2" t="str">
        <f>Eligibility_R1!J20</f>
        <v>Abstract book/poster compilation</v>
      </c>
      <c r="J20" s="2" t="str">
        <f>Eligibility_R2!J20</f>
        <v>Abstract book/poster compilation</v>
      </c>
      <c r="K20" s="2"/>
      <c r="L20" s="2"/>
      <c r="M20" s="2"/>
    </row>
    <row r="21" spans="1:13" ht="70.7">
      <c r="A21" s="2" t="s">
        <v>226</v>
      </c>
      <c r="B21" s="2" t="s">
        <v>227</v>
      </c>
      <c r="C21" s="2" t="s">
        <v>202</v>
      </c>
      <c r="D21" s="2" t="s">
        <v>228</v>
      </c>
      <c r="E21" s="2" t="s">
        <v>229</v>
      </c>
      <c r="F21" s="2" t="str">
        <f>Eligibility_R1!I21</f>
        <v>Exclude</v>
      </c>
      <c r="G21" s="2" t="str">
        <f>Eligibility_R2!I21</f>
        <v>Exclude</v>
      </c>
      <c r="H21" s="2" t="str">
        <f t="shared" si="0"/>
        <v>Agree</v>
      </c>
      <c r="I21" s="2" t="str">
        <f>Eligibility_R1!J21</f>
        <v>Not ML/AI</v>
      </c>
      <c r="J21" s="2" t="str">
        <f>Eligibility_R2!J21</f>
        <v>Abstract book/poster compilation</v>
      </c>
      <c r="K21" s="2"/>
      <c r="L21" s="2"/>
      <c r="M21" s="2"/>
    </row>
    <row r="22" spans="1:13" ht="70.7">
      <c r="A22" s="2" t="s">
        <v>231</v>
      </c>
      <c r="B22" s="2" t="s">
        <v>232</v>
      </c>
      <c r="C22" s="2" t="s">
        <v>233</v>
      </c>
      <c r="D22" s="2" t="s">
        <v>234</v>
      </c>
      <c r="E22" s="2" t="s">
        <v>235</v>
      </c>
      <c r="F22" s="2" t="str">
        <f>Eligibility_R1!I22</f>
        <v>Exclude</v>
      </c>
      <c r="G22" s="2" t="str">
        <f>Eligibility_R2!I22</f>
        <v>Exclude</v>
      </c>
      <c r="H22" s="2" t="str">
        <f t="shared" si="0"/>
        <v>Agree</v>
      </c>
      <c r="I22" s="2" t="str">
        <f>Eligibility_R1!J22</f>
        <v>Abstract book/poster compilation</v>
      </c>
      <c r="J22" s="2" t="str">
        <f>Eligibility_R2!J22</f>
        <v>Abstract book/poster compilation</v>
      </c>
      <c r="K22" s="2"/>
      <c r="L22" s="2"/>
      <c r="M22" s="2"/>
    </row>
    <row r="23" spans="1:13" ht="84.95">
      <c r="A23" s="2" t="s">
        <v>237</v>
      </c>
      <c r="B23" s="2" t="s">
        <v>238</v>
      </c>
      <c r="C23" s="2" t="s">
        <v>190</v>
      </c>
      <c r="D23" s="2" t="s">
        <v>239</v>
      </c>
      <c r="E23" s="2" t="s">
        <v>240</v>
      </c>
      <c r="F23" s="2" t="str">
        <f>Eligibility_R1!I23</f>
        <v>Exclude</v>
      </c>
      <c r="G23" s="2" t="str">
        <f>Eligibility_R2!I23</f>
        <v>Exclude</v>
      </c>
      <c r="H23" s="2" t="str">
        <f t="shared" si="0"/>
        <v>Agree</v>
      </c>
      <c r="I23" s="2" t="str">
        <f>Eligibility_R1!J23</f>
        <v>Not ML/AI</v>
      </c>
      <c r="J23" s="2" t="str">
        <f>Eligibility_R2!J23</f>
        <v>Not PE/HDP</v>
      </c>
      <c r="K23" s="2"/>
      <c r="L23" s="2"/>
      <c r="M23" s="2"/>
    </row>
    <row r="24" spans="1:13" ht="70.7">
      <c r="A24" s="2" t="s">
        <v>243</v>
      </c>
      <c r="B24" s="2" t="s">
        <v>244</v>
      </c>
      <c r="C24" s="2" t="s">
        <v>202</v>
      </c>
      <c r="D24" s="2" t="s">
        <v>245</v>
      </c>
      <c r="E24" s="2" t="s">
        <v>246</v>
      </c>
      <c r="F24" s="2" t="str">
        <f>Eligibility_R1!I24</f>
        <v>Exclude</v>
      </c>
      <c r="G24" s="2" t="str">
        <f>Eligibility_R2!I24</f>
        <v>Exclude</v>
      </c>
      <c r="H24" s="2" t="str">
        <f t="shared" si="0"/>
        <v>Agree</v>
      </c>
      <c r="I24" s="2" t="str">
        <f>Eligibility_R1!J24</f>
        <v>Contextual review/guideline/methodological reference</v>
      </c>
      <c r="J24" s="2" t="str">
        <f>Eligibility_R2!J24</f>
        <v>Contextual review/guideline/methodological reference</v>
      </c>
      <c r="K24" s="2"/>
      <c r="L24" s="2"/>
      <c r="M24" s="2"/>
    </row>
    <row r="25" spans="1:13" ht="70.7">
      <c r="A25" s="2" t="s">
        <v>249</v>
      </c>
      <c r="B25" s="2" t="s">
        <v>250</v>
      </c>
      <c r="C25" s="2" t="s">
        <v>233</v>
      </c>
      <c r="D25" s="2" t="s">
        <v>251</v>
      </c>
      <c r="E25" s="2" t="s">
        <v>252</v>
      </c>
      <c r="F25" s="2" t="str">
        <f>Eligibility_R1!I25</f>
        <v>Exclude</v>
      </c>
      <c r="G25" s="2" t="str">
        <f>Eligibility_R2!I25</f>
        <v xml:space="preserve">Exclude
</v>
      </c>
      <c r="H25" s="2" t="str">
        <f t="shared" si="0"/>
        <v>Conflict</v>
      </c>
      <c r="I25" s="2" t="str">
        <f>Eligibility_R1!J25</f>
        <v>Not PE/HDP</v>
      </c>
      <c r="J25" s="2" t="str">
        <f>Eligibility_R2!J25</f>
        <v>Not PE/HDP</v>
      </c>
      <c r="K25" s="2"/>
      <c r="L25" s="2"/>
      <c r="M25" s="2"/>
    </row>
    <row r="26" spans="1:13" ht="70.7">
      <c r="A26" s="2" t="s">
        <v>254</v>
      </c>
      <c r="B26" s="2" t="s">
        <v>255</v>
      </c>
      <c r="C26" s="2" t="s">
        <v>152</v>
      </c>
      <c r="D26" s="2" t="s">
        <v>256</v>
      </c>
      <c r="E26" s="2" t="s">
        <v>257</v>
      </c>
      <c r="F26" s="2" t="str">
        <f>Eligibility_R1!I26</f>
        <v>Exclude</v>
      </c>
      <c r="G26" s="2" t="str">
        <f>Eligibility_R2!I26</f>
        <v>Exclude</v>
      </c>
      <c r="H26" s="2" t="str">
        <f t="shared" si="0"/>
        <v>Agree</v>
      </c>
      <c r="I26" s="2" t="str">
        <f>Eligibility_R1!J26</f>
        <v>Not PE/HDP</v>
      </c>
      <c r="J26" s="2" t="str">
        <f>Eligibility_R2!J26</f>
        <v>Not ML/AI</v>
      </c>
      <c r="K26" s="2"/>
      <c r="L26" s="2"/>
      <c r="M26" s="2"/>
    </row>
    <row r="27" spans="1:13" ht="70.7">
      <c r="A27" s="2" t="s">
        <v>259</v>
      </c>
      <c r="B27" s="2" t="s">
        <v>260</v>
      </c>
      <c r="C27" s="2" t="s">
        <v>190</v>
      </c>
      <c r="D27" s="2" t="s">
        <v>261</v>
      </c>
      <c r="E27" s="2" t="s">
        <v>262</v>
      </c>
      <c r="F27" s="2" t="str">
        <f>Eligibility_R1!I27</f>
        <v>Include</v>
      </c>
      <c r="G27" s="2" t="str">
        <f>Eligibility_R2!I27</f>
        <v>Include</v>
      </c>
      <c r="H27" s="2" t="str">
        <f t="shared" si="0"/>
        <v>Agree</v>
      </c>
      <c r="I27" s="2">
        <f>Eligibility_R1!J27</f>
        <v>0</v>
      </c>
      <c r="J27" s="2">
        <f>Eligibility_R2!J27</f>
        <v>0</v>
      </c>
      <c r="K27" s="2"/>
      <c r="L27" s="2"/>
      <c r="M27" s="2"/>
    </row>
    <row r="28" spans="1:13" ht="70.7">
      <c r="A28" s="2" t="s">
        <v>265</v>
      </c>
      <c r="B28" s="2" t="s">
        <v>266</v>
      </c>
      <c r="C28" s="2" t="s">
        <v>202</v>
      </c>
      <c r="D28" s="2" t="s">
        <v>268</v>
      </c>
      <c r="E28" s="2" t="s">
        <v>269</v>
      </c>
      <c r="F28" s="2" t="str">
        <f>Eligibility_R1!I28</f>
        <v>Exclude</v>
      </c>
      <c r="G28" s="2" t="str">
        <f>Eligibility_R2!I28</f>
        <v>Exclude</v>
      </c>
      <c r="H28" s="2" t="str">
        <f t="shared" si="0"/>
        <v>Agree</v>
      </c>
      <c r="I28" s="2" t="str">
        <f>Eligibility_R1!J28</f>
        <v>Contextual review/guideline/methodological reference</v>
      </c>
      <c r="J28" s="2" t="str">
        <f>Eligibility_R2!J28</f>
        <v>Contextual review/guideline/methodological reference</v>
      </c>
      <c r="K28" s="2"/>
      <c r="L28" s="2"/>
      <c r="M28" s="2"/>
    </row>
    <row r="29" spans="1:13" ht="70.7">
      <c r="A29" s="2" t="s">
        <v>271</v>
      </c>
      <c r="B29" s="2" t="s">
        <v>272</v>
      </c>
      <c r="C29" s="2" t="s">
        <v>190</v>
      </c>
      <c r="D29" s="2" t="s">
        <v>273</v>
      </c>
      <c r="E29" s="2" t="s">
        <v>274</v>
      </c>
      <c r="F29" s="2" t="str">
        <f>Eligibility_R1!I29</f>
        <v>Exclude</v>
      </c>
      <c r="G29" s="2" t="str">
        <f>Eligibility_R2!I29</f>
        <v>Exclude</v>
      </c>
      <c r="H29" s="2" t="str">
        <f t="shared" si="0"/>
        <v>Agree</v>
      </c>
      <c r="I29" s="2" t="str">
        <f>Eligibility_R1!J29</f>
        <v>Not ML/AI</v>
      </c>
      <c r="J29" s="2" t="str">
        <f>Eligibility_R2!J29</f>
        <v>Not ML/AI</v>
      </c>
      <c r="K29" s="2"/>
      <c r="L29" s="2"/>
      <c r="M29" s="2"/>
    </row>
    <row r="30" spans="1:13" ht="70.7">
      <c r="A30" s="2" t="s">
        <v>277</v>
      </c>
      <c r="B30" s="2" t="s">
        <v>278</v>
      </c>
      <c r="C30" s="2" t="s">
        <v>190</v>
      </c>
      <c r="D30" s="2" t="s">
        <v>279</v>
      </c>
      <c r="E30" s="2" t="s">
        <v>280</v>
      </c>
      <c r="F30" s="2" t="str">
        <f>Eligibility_R1!I30</f>
        <v>Exclude</v>
      </c>
      <c r="G30" s="2" t="str">
        <f>Eligibility_R2!I30</f>
        <v>Exclude</v>
      </c>
      <c r="H30" s="2" t="str">
        <f t="shared" si="0"/>
        <v>Agree</v>
      </c>
      <c r="I30" s="2" t="str">
        <f>Eligibility_R1!J30</f>
        <v>Not PE/HDP</v>
      </c>
      <c r="J30" s="2" t="str">
        <f>Eligibility_R2!J30</f>
        <v>Not ML/AI</v>
      </c>
      <c r="K30" s="2"/>
      <c r="L30" s="2"/>
      <c r="M30" s="2"/>
    </row>
    <row r="31" spans="1:13" ht="70.7">
      <c r="A31" s="2" t="s">
        <v>282</v>
      </c>
      <c r="B31" s="2" t="s">
        <v>283</v>
      </c>
      <c r="C31" s="2" t="s">
        <v>135</v>
      </c>
      <c r="D31" s="2" t="s">
        <v>284</v>
      </c>
      <c r="E31" s="2" t="s">
        <v>285</v>
      </c>
      <c r="F31" s="2" t="str">
        <f>Eligibility_R1!I31</f>
        <v>Include</v>
      </c>
      <c r="G31" s="2" t="str">
        <f>Eligibility_R2!I31</f>
        <v>Include</v>
      </c>
      <c r="H31" s="2" t="str">
        <f t="shared" si="0"/>
        <v>Agree</v>
      </c>
      <c r="I31" s="2">
        <f>Eligibility_R1!J31</f>
        <v>0</v>
      </c>
      <c r="J31" s="2">
        <f>Eligibility_R2!J31</f>
        <v>0</v>
      </c>
      <c r="K31" s="2"/>
      <c r="L31" s="2"/>
      <c r="M31" s="2"/>
    </row>
    <row r="32" spans="1:13" ht="70.7">
      <c r="A32" s="2" t="s">
        <v>287</v>
      </c>
      <c r="B32" s="2" t="s">
        <v>288</v>
      </c>
      <c r="C32" s="2" t="s">
        <v>202</v>
      </c>
      <c r="D32" s="2" t="s">
        <v>289</v>
      </c>
      <c r="E32" s="2" t="s">
        <v>290</v>
      </c>
      <c r="F32" s="2" t="str">
        <f>Eligibility_R1!I32</f>
        <v>Include</v>
      </c>
      <c r="G32" s="2" t="str">
        <f>Eligibility_R2!I32</f>
        <v>Exclude</v>
      </c>
      <c r="H32" s="2" t="str">
        <f t="shared" si="0"/>
        <v>Conflict</v>
      </c>
      <c r="I32" s="2">
        <f>Eligibility_R1!J32</f>
        <v>0</v>
      </c>
      <c r="J32" s="2">
        <f>Eligibility_R2!J32</f>
        <v>0</v>
      </c>
      <c r="K32" s="2"/>
      <c r="L32" s="2"/>
      <c r="M32" s="2"/>
    </row>
    <row r="33" spans="1:13" ht="70.7">
      <c r="A33" s="2" t="s">
        <v>292</v>
      </c>
      <c r="B33" s="2" t="s">
        <v>293</v>
      </c>
      <c r="C33" s="2" t="s">
        <v>233</v>
      </c>
      <c r="D33" s="2" t="s">
        <v>294</v>
      </c>
      <c r="E33" s="2" t="s">
        <v>295</v>
      </c>
      <c r="F33" s="2" t="str">
        <f>Eligibility_R1!I33</f>
        <v>Exclude</v>
      </c>
      <c r="G33" s="2" t="str">
        <f>Eligibility_R2!I33</f>
        <v>Exclude</v>
      </c>
      <c r="H33" s="2" t="str">
        <f t="shared" si="0"/>
        <v>Agree</v>
      </c>
      <c r="I33" s="2" t="str">
        <f>Eligibility_R1!J33</f>
        <v>Not PE/HDP</v>
      </c>
      <c r="J33" s="2" t="str">
        <f>Eligibility_R2!J33</f>
        <v>Not ML/AI</v>
      </c>
      <c r="K33" s="2"/>
      <c r="L33" s="2"/>
      <c r="M33" s="2"/>
    </row>
    <row r="34" spans="1:13" ht="70.7">
      <c r="A34" s="2" t="s">
        <v>297</v>
      </c>
      <c r="B34" s="2" t="s">
        <v>298</v>
      </c>
      <c r="C34" s="2" t="s">
        <v>299</v>
      </c>
      <c r="D34" s="2" t="s">
        <v>301</v>
      </c>
      <c r="E34" s="2" t="s">
        <v>302</v>
      </c>
      <c r="F34" s="2" t="str">
        <f>Eligibility_R1!I34</f>
        <v>Exclude</v>
      </c>
      <c r="G34" s="2" t="str">
        <f>Eligibility_R2!I34</f>
        <v>Exclude</v>
      </c>
      <c r="H34" s="2" t="str">
        <f t="shared" ref="H34:H65" si="1">IF(OR(F34="",G34=""),"Pending",IF(F34=G34,"Agree","Conflict"))</f>
        <v>Agree</v>
      </c>
      <c r="I34" s="2" t="str">
        <f>Eligibility_R1!J34</f>
        <v>Contextual review/guideline/methodological reference</v>
      </c>
      <c r="J34" s="2" t="str">
        <f>Eligibility_R2!J34</f>
        <v>Not ML/AI</v>
      </c>
      <c r="K34" s="2"/>
      <c r="L34" s="2"/>
      <c r="M34" s="2"/>
    </row>
    <row r="35" spans="1:13" ht="84.95">
      <c r="A35" s="2" t="s">
        <v>304</v>
      </c>
      <c r="B35" s="2" t="s">
        <v>305</v>
      </c>
      <c r="C35" s="2" t="s">
        <v>167</v>
      </c>
      <c r="D35" s="2" t="s">
        <v>306</v>
      </c>
      <c r="E35" s="2" t="s">
        <v>307</v>
      </c>
      <c r="F35" s="2" t="str">
        <f>Eligibility_R1!I35</f>
        <v>Exclude</v>
      </c>
      <c r="G35" s="2" t="str">
        <f>Eligibility_R2!I35</f>
        <v>Exclude</v>
      </c>
      <c r="H35" s="2" t="str">
        <f t="shared" si="1"/>
        <v>Agree</v>
      </c>
      <c r="I35" s="2" t="str">
        <f>Eligibility_R1!J35</f>
        <v>Contextual review/guideline/methodological reference</v>
      </c>
      <c r="J35" s="2" t="str">
        <f>Eligibility_R2!J35</f>
        <v>Contextual review/guideline/methodological reference</v>
      </c>
      <c r="K35" s="2"/>
      <c r="L35" s="2"/>
      <c r="M35" s="2"/>
    </row>
    <row r="36" spans="1:13" ht="70.7">
      <c r="A36" s="2" t="s">
        <v>309</v>
      </c>
      <c r="B36" s="2" t="s">
        <v>310</v>
      </c>
      <c r="C36" s="2" t="s">
        <v>135</v>
      </c>
      <c r="D36" s="2" t="s">
        <v>311</v>
      </c>
      <c r="E36" s="2" t="s">
        <v>312</v>
      </c>
      <c r="F36" s="2" t="str">
        <f>Eligibility_R1!I36</f>
        <v>Exclude</v>
      </c>
      <c r="G36" s="2" t="str">
        <f>Eligibility_R2!I36</f>
        <v>Exclude</v>
      </c>
      <c r="H36" s="2" t="str">
        <f t="shared" si="1"/>
        <v>Agree</v>
      </c>
      <c r="I36" s="2" t="str">
        <f>Eligibility_R1!J36</f>
        <v>Contextual review/guideline/methodological reference</v>
      </c>
      <c r="J36" s="2" t="str">
        <f>Eligibility_R2!J36</f>
        <v>Not ML/AI</v>
      </c>
      <c r="K36" s="2"/>
      <c r="L36" s="2"/>
      <c r="M36" s="2"/>
    </row>
    <row r="37" spans="1:13" ht="84.95">
      <c r="A37" s="2" t="s">
        <v>314</v>
      </c>
      <c r="B37" s="2" t="s">
        <v>315</v>
      </c>
      <c r="C37" s="2" t="s">
        <v>202</v>
      </c>
      <c r="D37" s="2" t="s">
        <v>316</v>
      </c>
      <c r="E37" s="2" t="s">
        <v>317</v>
      </c>
      <c r="F37" s="2" t="str">
        <f>Eligibility_R1!I37</f>
        <v>Exclude</v>
      </c>
      <c r="G37" s="2" t="str">
        <f>Eligibility_R2!I37</f>
        <v>Exclude</v>
      </c>
      <c r="H37" s="2" t="str">
        <f t="shared" si="1"/>
        <v>Agree</v>
      </c>
      <c r="I37" s="2" t="str">
        <f>Eligibility_R1!J37</f>
        <v>Contextual review/guideline/methodological reference</v>
      </c>
      <c r="J37" s="2" t="str">
        <f>Eligibility_R2!J37</f>
        <v>Not ML/AI</v>
      </c>
      <c r="K37" s="2"/>
      <c r="L37" s="2"/>
      <c r="M37" s="2"/>
    </row>
    <row r="38" spans="1:13" ht="84.95">
      <c r="A38" s="2" t="s">
        <v>319</v>
      </c>
      <c r="B38" s="2" t="s">
        <v>320</v>
      </c>
      <c r="C38" s="2" t="s">
        <v>157</v>
      </c>
      <c r="D38" s="2" t="s">
        <v>321</v>
      </c>
      <c r="E38" s="2" t="s">
        <v>322</v>
      </c>
      <c r="F38" s="2" t="str">
        <f>Eligibility_R1!I38</f>
        <v>Exclude</v>
      </c>
      <c r="G38" s="2" t="str">
        <f>Eligibility_R2!I38</f>
        <v>Exclude</v>
      </c>
      <c r="H38" s="2" t="str">
        <f t="shared" si="1"/>
        <v>Agree</v>
      </c>
      <c r="I38" s="2" t="str">
        <f>Eligibility_R1!J38</f>
        <v>Contextual review/guideline/methodological reference</v>
      </c>
      <c r="J38" s="2" t="str">
        <f>Eligibility_R2!J38</f>
        <v>Not ML/AI</v>
      </c>
      <c r="K38" s="2"/>
      <c r="L38" s="2"/>
      <c r="M38" s="2"/>
    </row>
    <row r="39" spans="1:13" ht="70.7">
      <c r="A39" s="2" t="s">
        <v>324</v>
      </c>
      <c r="B39" s="2" t="s">
        <v>325</v>
      </c>
      <c r="C39" s="2" t="s">
        <v>202</v>
      </c>
      <c r="D39" s="2" t="s">
        <v>326</v>
      </c>
      <c r="E39" s="2" t="s">
        <v>327</v>
      </c>
      <c r="F39" s="2" t="str">
        <f>Eligibility_R1!I39</f>
        <v>Include</v>
      </c>
      <c r="G39" s="2" t="str">
        <f>Eligibility_R2!I39</f>
        <v>Exclude</v>
      </c>
      <c r="H39" s="2" t="str">
        <f t="shared" si="1"/>
        <v>Conflict</v>
      </c>
      <c r="I39" s="2">
        <f>Eligibility_R1!J39</f>
        <v>0</v>
      </c>
      <c r="J39" s="2" t="str">
        <f>Eligibility_R2!J39</f>
        <v>Not PE/HDP</v>
      </c>
      <c r="K39" s="2"/>
      <c r="L39" s="2"/>
      <c r="M39" s="2"/>
    </row>
    <row r="40" spans="1:13" ht="70.7">
      <c r="A40" s="2" t="s">
        <v>330</v>
      </c>
      <c r="B40" s="2" t="s">
        <v>331</v>
      </c>
      <c r="C40" s="2" t="s">
        <v>152</v>
      </c>
      <c r="D40" s="2" t="s">
        <v>332</v>
      </c>
      <c r="E40" s="2" t="s">
        <v>333</v>
      </c>
      <c r="F40" s="2" t="str">
        <f>Eligibility_R1!I40</f>
        <v>Include</v>
      </c>
      <c r="G40" s="2" t="str">
        <f>Eligibility_R2!I40</f>
        <v>Include</v>
      </c>
      <c r="H40" s="2" t="str">
        <f t="shared" si="1"/>
        <v>Agree</v>
      </c>
      <c r="I40" s="2">
        <f>Eligibility_R1!J40</f>
        <v>0</v>
      </c>
      <c r="J40" s="2">
        <f>Eligibility_R2!J40</f>
        <v>0</v>
      </c>
      <c r="K40" s="2"/>
      <c r="L40" s="2"/>
      <c r="M40" s="2"/>
    </row>
    <row r="41" spans="1:13" ht="70.7">
      <c r="A41" s="2" t="s">
        <v>335</v>
      </c>
      <c r="B41" s="2" t="s">
        <v>336</v>
      </c>
      <c r="C41" s="2" t="s">
        <v>233</v>
      </c>
      <c r="D41" s="2" t="s">
        <v>337</v>
      </c>
      <c r="E41" s="2" t="s">
        <v>338</v>
      </c>
      <c r="F41" s="2" t="str">
        <f>Eligibility_R1!I41</f>
        <v>Exclude</v>
      </c>
      <c r="G41" s="2" t="str">
        <f>Eligibility_R2!I41</f>
        <v>Exclude</v>
      </c>
      <c r="H41" s="2" t="str">
        <f t="shared" si="1"/>
        <v>Agree</v>
      </c>
      <c r="I41" s="2" t="str">
        <f>Eligibility_R1!J41</f>
        <v>Not PE/HDP</v>
      </c>
      <c r="J41" s="2" t="str">
        <f>Eligibility_R2!J41</f>
        <v>Not PE/HDP</v>
      </c>
      <c r="K41" s="2"/>
      <c r="L41" s="2"/>
      <c r="M41" s="2"/>
    </row>
    <row r="42" spans="1:13" ht="70.7">
      <c r="A42" s="2" t="s">
        <v>340</v>
      </c>
      <c r="B42" s="2" t="s">
        <v>341</v>
      </c>
      <c r="C42" s="2" t="s">
        <v>202</v>
      </c>
      <c r="D42" s="2" t="s">
        <v>342</v>
      </c>
      <c r="E42" s="2" t="s">
        <v>343</v>
      </c>
      <c r="F42" s="2" t="str">
        <f>Eligibility_R1!I42</f>
        <v>Exclude</v>
      </c>
      <c r="G42" s="2" t="str">
        <f>Eligibility_R2!I42</f>
        <v>Exclude</v>
      </c>
      <c r="H42" s="2" t="str">
        <f t="shared" si="1"/>
        <v>Agree</v>
      </c>
      <c r="I42" s="2" t="str">
        <f>Eligibility_R1!J42</f>
        <v>Not PE/HDP</v>
      </c>
      <c r="J42" s="2" t="str">
        <f>Eligibility_R2!J42</f>
        <v>Not PE/HDP</v>
      </c>
      <c r="K42" s="2"/>
      <c r="L42" s="2"/>
      <c r="M42" s="2"/>
    </row>
    <row r="43" spans="1:13" ht="70.7">
      <c r="A43" s="2" t="s">
        <v>345</v>
      </c>
      <c r="B43" s="2" t="s">
        <v>346</v>
      </c>
      <c r="C43" s="2" t="s">
        <v>157</v>
      </c>
      <c r="D43" s="2" t="s">
        <v>347</v>
      </c>
      <c r="E43" s="2" t="s">
        <v>348</v>
      </c>
      <c r="F43" s="2" t="str">
        <f>Eligibility_R1!I43</f>
        <v>Exclude</v>
      </c>
      <c r="G43" s="2" t="str">
        <f>Eligibility_R2!I43</f>
        <v>Exclude</v>
      </c>
      <c r="H43" s="2" t="str">
        <f t="shared" si="1"/>
        <v>Agree</v>
      </c>
      <c r="I43" s="2" t="str">
        <f>Eligibility_R1!J43</f>
        <v>Not ML/AI</v>
      </c>
      <c r="J43" s="2" t="str">
        <f>Eligibility_R2!J43</f>
        <v>Not ML/AI</v>
      </c>
      <c r="K43" s="2"/>
      <c r="L43" s="2"/>
      <c r="M43" s="2"/>
    </row>
    <row r="44" spans="1:13" ht="70.7">
      <c r="A44" s="2" t="s">
        <v>351</v>
      </c>
      <c r="B44" s="2" t="s">
        <v>352</v>
      </c>
      <c r="C44" s="2" t="s">
        <v>233</v>
      </c>
      <c r="D44" s="2" t="s">
        <v>353</v>
      </c>
      <c r="E44" s="2" t="s">
        <v>354</v>
      </c>
      <c r="F44" s="2" t="str">
        <f>Eligibility_R1!I44</f>
        <v>Exclude</v>
      </c>
      <c r="G44" s="2" t="str">
        <f>Eligibility_R2!I44</f>
        <v>Exclude</v>
      </c>
      <c r="H44" s="2" t="str">
        <f t="shared" si="1"/>
        <v>Agree</v>
      </c>
      <c r="I44" s="2" t="str">
        <f>Eligibility_R1!J44</f>
        <v>Not ML/AI</v>
      </c>
      <c r="J44" s="2" t="str">
        <f>Eligibility_R2!J44</f>
        <v>Not PE/HDP</v>
      </c>
      <c r="K44" s="2"/>
      <c r="L44" s="2"/>
      <c r="M44" s="2"/>
    </row>
    <row r="45" spans="1:13" ht="70.7">
      <c r="A45" s="2" t="s">
        <v>357</v>
      </c>
      <c r="B45" s="2" t="s">
        <v>358</v>
      </c>
      <c r="C45" s="2" t="s">
        <v>202</v>
      </c>
      <c r="D45" s="2" t="s">
        <v>359</v>
      </c>
      <c r="E45" s="2" t="s">
        <v>360</v>
      </c>
      <c r="F45" s="2" t="str">
        <f>Eligibility_R1!I45</f>
        <v>Exclude</v>
      </c>
      <c r="G45" s="2" t="str">
        <f>Eligibility_R2!I45</f>
        <v>Exclude</v>
      </c>
      <c r="H45" s="2" t="str">
        <f t="shared" si="1"/>
        <v>Agree</v>
      </c>
      <c r="I45" s="2" t="str">
        <f>Eligibility_R1!J45</f>
        <v>Not PE/HDP</v>
      </c>
      <c r="J45" s="2" t="str">
        <f>Eligibility_R2!J45</f>
        <v>Not PE/HDP</v>
      </c>
      <c r="K45" s="2"/>
      <c r="L45" s="2"/>
      <c r="M45" s="2"/>
    </row>
    <row r="46" spans="1:13" ht="70.7">
      <c r="A46" s="2" t="s">
        <v>362</v>
      </c>
      <c r="B46" s="2" t="s">
        <v>363</v>
      </c>
      <c r="C46" s="2" t="s">
        <v>190</v>
      </c>
      <c r="D46" s="2" t="s">
        <v>364</v>
      </c>
      <c r="E46" s="2" t="s">
        <v>365</v>
      </c>
      <c r="F46" s="2" t="str">
        <f>Eligibility_R1!I46</f>
        <v>Exclude</v>
      </c>
      <c r="G46" s="2" t="str">
        <f>Eligibility_R2!I46</f>
        <v>Include</v>
      </c>
      <c r="H46" s="2" t="str">
        <f t="shared" si="1"/>
        <v>Conflict</v>
      </c>
      <c r="I46" s="2" t="str">
        <f>Eligibility_R1!J46</f>
        <v>Not PE/HDP</v>
      </c>
      <c r="J46" s="2" t="str">
        <f>Eligibility_R2!J46</f>
        <v>Abstract book/poster compilation</v>
      </c>
      <c r="K46" s="2"/>
      <c r="L46" s="2"/>
      <c r="M46" s="2"/>
    </row>
    <row r="47" spans="1:13" ht="84.95">
      <c r="A47" s="2" t="s">
        <v>367</v>
      </c>
      <c r="B47" s="2" t="s">
        <v>368</v>
      </c>
      <c r="C47" s="2" t="s">
        <v>157</v>
      </c>
      <c r="D47" s="2" t="s">
        <v>369</v>
      </c>
      <c r="E47" s="2" t="s">
        <v>370</v>
      </c>
      <c r="F47" s="2" t="str">
        <f>Eligibility_R1!I47</f>
        <v>Exclude</v>
      </c>
      <c r="G47" s="2" t="str">
        <f>Eligibility_R2!I47</f>
        <v>Exclude</v>
      </c>
      <c r="H47" s="2" t="str">
        <f t="shared" si="1"/>
        <v>Agree</v>
      </c>
      <c r="I47" s="2" t="str">
        <f>Eligibility_R1!J47</f>
        <v>Not PE/HDP</v>
      </c>
      <c r="J47" s="2" t="str">
        <f>Eligibility_R2!J47</f>
        <v>Not PE/HDP</v>
      </c>
      <c r="K47" s="2"/>
      <c r="L47" s="2"/>
      <c r="M47" s="2"/>
    </row>
    <row r="48" spans="1:13" ht="70.7">
      <c r="A48" s="2" t="s">
        <v>373</v>
      </c>
      <c r="B48" s="2" t="s">
        <v>374</v>
      </c>
      <c r="C48" s="2" t="s">
        <v>233</v>
      </c>
      <c r="D48" s="2" t="s">
        <v>375</v>
      </c>
      <c r="E48" s="2" t="s">
        <v>376</v>
      </c>
      <c r="F48" s="2" t="str">
        <f>Eligibility_R1!I48</f>
        <v>Exclude</v>
      </c>
      <c r="G48" s="2" t="str">
        <f>Eligibility_R2!I48</f>
        <v>Exclude</v>
      </c>
      <c r="H48" s="2" t="str">
        <f t="shared" si="1"/>
        <v>Agree</v>
      </c>
      <c r="I48" s="2" t="str">
        <f>Eligibility_R1!J48</f>
        <v>Not PE/HDP</v>
      </c>
      <c r="J48" s="2" t="str">
        <f>Eligibility_R2!J48</f>
        <v>Not ML/AI</v>
      </c>
      <c r="K48" s="2"/>
      <c r="L48" s="2"/>
      <c r="M48" s="2"/>
    </row>
    <row r="49" spans="1:13" ht="84.95">
      <c r="A49" s="2" t="s">
        <v>379</v>
      </c>
      <c r="B49" s="2" t="s">
        <v>380</v>
      </c>
      <c r="C49" s="2" t="s">
        <v>233</v>
      </c>
      <c r="D49" s="2" t="s">
        <v>381</v>
      </c>
      <c r="E49" s="2" t="s">
        <v>382</v>
      </c>
      <c r="F49" s="2" t="str">
        <f>Eligibility_R1!I49</f>
        <v>Exclude</v>
      </c>
      <c r="G49" s="2" t="str">
        <f>Eligibility_R2!I49</f>
        <v>Exclude</v>
      </c>
      <c r="H49" s="2" t="str">
        <f t="shared" si="1"/>
        <v>Agree</v>
      </c>
      <c r="I49" s="2" t="str">
        <f>Eligibility_R1!J49</f>
        <v>Not PE/HDP</v>
      </c>
      <c r="J49" s="2" t="str">
        <f>Eligibility_R2!J49</f>
        <v>Not PE/HDP</v>
      </c>
      <c r="K49" s="2"/>
      <c r="L49" s="2"/>
      <c r="M49" s="2"/>
    </row>
    <row r="50" spans="1:13" ht="70.7">
      <c r="A50" s="2" t="s">
        <v>384</v>
      </c>
      <c r="B50" s="2" t="s">
        <v>385</v>
      </c>
      <c r="C50" s="2" t="s">
        <v>202</v>
      </c>
      <c r="D50" s="2" t="s">
        <v>386</v>
      </c>
      <c r="E50" s="2" t="s">
        <v>387</v>
      </c>
      <c r="F50" s="2" t="str">
        <f>Eligibility_R1!I50</f>
        <v>Exclude</v>
      </c>
      <c r="G50" s="2" t="str">
        <f>Eligibility_R2!I50</f>
        <v>Exclude</v>
      </c>
      <c r="H50" s="2" t="str">
        <f t="shared" si="1"/>
        <v>Agree</v>
      </c>
      <c r="I50" s="2" t="str">
        <f>Eligibility_R1!J50</f>
        <v>Not PE/HDP</v>
      </c>
      <c r="J50" s="2" t="str">
        <f>Eligibility_R2!J50</f>
        <v>Not PE/HDP</v>
      </c>
      <c r="K50" s="2"/>
      <c r="L50" s="2"/>
      <c r="M50" s="2"/>
    </row>
    <row r="51" spans="1:13" ht="70.7">
      <c r="A51" s="2" t="s">
        <v>390</v>
      </c>
      <c r="B51" s="2" t="s">
        <v>391</v>
      </c>
      <c r="C51" s="2" t="s">
        <v>190</v>
      </c>
      <c r="D51" s="2" t="s">
        <v>392</v>
      </c>
      <c r="E51" s="2" t="s">
        <v>393</v>
      </c>
      <c r="F51" s="2" t="str">
        <f>Eligibility_R1!I51</f>
        <v>Exclude</v>
      </c>
      <c r="G51" s="2" t="str">
        <f>Eligibility_R2!I51</f>
        <v>Exclude</v>
      </c>
      <c r="H51" s="2" t="str">
        <f t="shared" si="1"/>
        <v>Agree</v>
      </c>
      <c r="I51" s="2" t="str">
        <f>Eligibility_R1!J51</f>
        <v>Not PE/HDP</v>
      </c>
      <c r="J51" s="2" t="str">
        <f>Eligibility_R2!J51</f>
        <v>Not PE/HDP</v>
      </c>
      <c r="K51" s="2"/>
      <c r="L51" s="2"/>
      <c r="M51" s="2"/>
    </row>
    <row r="52" spans="1:13" ht="70.7">
      <c r="A52" s="2" t="s">
        <v>395</v>
      </c>
      <c r="B52" s="2" t="s">
        <v>396</v>
      </c>
      <c r="C52" s="2" t="s">
        <v>233</v>
      </c>
      <c r="D52" s="2" t="s">
        <v>397</v>
      </c>
      <c r="E52" s="2" t="s">
        <v>398</v>
      </c>
      <c r="F52" s="2" t="str">
        <f>Eligibility_R1!I52</f>
        <v>Exclude</v>
      </c>
      <c r="G52" s="2" t="str">
        <f>Eligibility_R2!I52</f>
        <v>Exclude</v>
      </c>
      <c r="H52" s="2" t="str">
        <f t="shared" si="1"/>
        <v>Agree</v>
      </c>
      <c r="I52" s="2" t="str">
        <f>Eligibility_R1!J52</f>
        <v>Not PE/HDP</v>
      </c>
      <c r="J52" s="2" t="str">
        <f>Eligibility_R2!J52</f>
        <v>Not ML/AI</v>
      </c>
      <c r="K52" s="2"/>
      <c r="L52" s="2"/>
      <c r="M52" s="2"/>
    </row>
    <row r="53" spans="1:13" ht="70.7">
      <c r="A53" s="2" t="s">
        <v>400</v>
      </c>
      <c r="B53" s="2" t="s">
        <v>401</v>
      </c>
      <c r="C53" s="2" t="s">
        <v>190</v>
      </c>
      <c r="D53" s="2" t="s">
        <v>402</v>
      </c>
      <c r="E53" s="2" t="s">
        <v>403</v>
      </c>
      <c r="F53" s="2" t="str">
        <f>Eligibility_R1!I53</f>
        <v>Include</v>
      </c>
      <c r="G53" s="2" t="str">
        <f>Eligibility_R2!I53</f>
        <v>Include</v>
      </c>
      <c r="H53" s="2" t="str">
        <f t="shared" si="1"/>
        <v>Agree</v>
      </c>
      <c r="I53" s="2">
        <f>Eligibility_R1!J53</f>
        <v>0</v>
      </c>
      <c r="J53" s="2">
        <f>Eligibility_R2!J53</f>
        <v>0</v>
      </c>
      <c r="K53" s="2"/>
      <c r="L53" s="2"/>
      <c r="M53" s="2"/>
    </row>
    <row r="54" spans="1:13" ht="70.7">
      <c r="A54" s="2" t="s">
        <v>406</v>
      </c>
      <c r="B54" s="2" t="s">
        <v>407</v>
      </c>
      <c r="C54" s="2" t="s">
        <v>202</v>
      </c>
      <c r="D54" s="2" t="s">
        <v>408</v>
      </c>
      <c r="E54" s="2" t="s">
        <v>409</v>
      </c>
      <c r="F54" s="2" t="str">
        <f>Eligibility_R1!I54</f>
        <v>Exclude</v>
      </c>
      <c r="G54" s="2" t="str">
        <f>Eligibility_R2!I54</f>
        <v>Exclude</v>
      </c>
      <c r="H54" s="2" t="str">
        <f t="shared" si="1"/>
        <v>Agree</v>
      </c>
      <c r="I54" s="2" t="str">
        <f>Eligibility_R1!J54</f>
        <v>Not PE/HDP</v>
      </c>
      <c r="J54" s="2" t="str">
        <f>Eligibility_R2!J54</f>
        <v>Not PE/HDP</v>
      </c>
      <c r="K54" s="2"/>
      <c r="L54" s="2"/>
      <c r="M54" s="2"/>
    </row>
    <row r="55" spans="1:13" ht="70.7">
      <c r="A55" s="2" t="s">
        <v>411</v>
      </c>
      <c r="B55" s="2" t="s">
        <v>412</v>
      </c>
      <c r="C55" s="2" t="s">
        <v>233</v>
      </c>
      <c r="D55" s="2" t="s">
        <v>413</v>
      </c>
      <c r="E55" s="2" t="s">
        <v>414</v>
      </c>
      <c r="F55" s="2" t="str">
        <f>Eligibility_R1!I55</f>
        <v>Exclude</v>
      </c>
      <c r="G55" s="2" t="str">
        <f>Eligibility_R2!I55</f>
        <v>Exclude</v>
      </c>
      <c r="H55" s="2" t="str">
        <f t="shared" si="1"/>
        <v>Agree</v>
      </c>
      <c r="I55" s="2" t="str">
        <f>Eligibility_R1!J55</f>
        <v>Not PE/HDP</v>
      </c>
      <c r="J55" s="2" t="str">
        <f>Eligibility_R2!J55</f>
        <v>Not PE/HDP</v>
      </c>
      <c r="K55" s="2"/>
      <c r="L55" s="2"/>
      <c r="M55" s="2"/>
    </row>
    <row r="56" spans="1:13" ht="70.7">
      <c r="A56" s="2" t="s">
        <v>416</v>
      </c>
      <c r="B56" s="2" t="s">
        <v>417</v>
      </c>
      <c r="C56" s="2" t="s">
        <v>190</v>
      </c>
      <c r="D56" s="2" t="s">
        <v>418</v>
      </c>
      <c r="E56" s="2" t="s">
        <v>419</v>
      </c>
      <c r="F56" s="2" t="str">
        <f>Eligibility_R1!I56</f>
        <v>Exclude</v>
      </c>
      <c r="G56" s="2" t="str">
        <f>Eligibility_R2!I56</f>
        <v>Exclude</v>
      </c>
      <c r="H56" s="2" t="str">
        <f t="shared" si="1"/>
        <v>Agree</v>
      </c>
      <c r="I56" s="2" t="str">
        <f>Eligibility_R1!J56</f>
        <v>Not ML/AI</v>
      </c>
      <c r="J56" s="2" t="str">
        <f>Eligibility_R2!J56</f>
        <v>Not ML/AI</v>
      </c>
      <c r="K56" s="2"/>
      <c r="L56" s="2"/>
      <c r="M56" s="2"/>
    </row>
    <row r="57" spans="1:13" ht="84.95">
      <c r="A57" s="2" t="s">
        <v>421</v>
      </c>
      <c r="B57" s="2" t="s">
        <v>422</v>
      </c>
      <c r="C57" s="2" t="s">
        <v>157</v>
      </c>
      <c r="D57" s="2" t="s">
        <v>423</v>
      </c>
      <c r="E57" s="2" t="s">
        <v>424</v>
      </c>
      <c r="F57" s="2" t="str">
        <f>Eligibility_R1!I57</f>
        <v>Exclude</v>
      </c>
      <c r="G57" s="2" t="str">
        <f>Eligibility_R2!I57</f>
        <v>Exclude</v>
      </c>
      <c r="H57" s="2" t="str">
        <f t="shared" si="1"/>
        <v>Agree</v>
      </c>
      <c r="I57" s="2" t="str">
        <f>Eligibility_R1!J57</f>
        <v>Not PE/HDP</v>
      </c>
      <c r="J57" s="2" t="str">
        <f>Eligibility_R2!J57</f>
        <v>Not PE/HDP</v>
      </c>
      <c r="K57" s="2"/>
      <c r="L57" s="2"/>
      <c r="M57" s="2"/>
    </row>
    <row r="58" spans="1:13" ht="70.7">
      <c r="A58" s="2" t="s">
        <v>427</v>
      </c>
      <c r="B58" s="2" t="s">
        <v>428</v>
      </c>
      <c r="C58" s="2" t="s">
        <v>141</v>
      </c>
      <c r="D58" s="2" t="s">
        <v>429</v>
      </c>
      <c r="E58" s="2" t="s">
        <v>430</v>
      </c>
      <c r="F58" s="2" t="str">
        <f>Eligibility_R1!I58</f>
        <v>Exclude</v>
      </c>
      <c r="G58" s="2" t="str">
        <f>Eligibility_R2!I58</f>
        <v>Exclude</v>
      </c>
      <c r="H58" s="2" t="str">
        <f t="shared" si="1"/>
        <v>Agree</v>
      </c>
      <c r="I58" s="2" t="str">
        <f>Eligibility_R1!J58</f>
        <v>Contextual review/guideline/methodological reference</v>
      </c>
      <c r="J58" s="2" t="str">
        <f>Eligibility_R2!J58</f>
        <v>Other
AI/ML study not focused on preeclampsia prediction</v>
      </c>
      <c r="K58" s="2"/>
      <c r="L58" s="2"/>
      <c r="M58" s="2"/>
    </row>
    <row r="59" spans="1:13" ht="70.7">
      <c r="A59" s="2" t="s">
        <v>433</v>
      </c>
      <c r="B59" s="2" t="s">
        <v>434</v>
      </c>
      <c r="C59" s="2" t="s">
        <v>157</v>
      </c>
      <c r="D59" s="2" t="s">
        <v>435</v>
      </c>
      <c r="E59" s="2" t="s">
        <v>436</v>
      </c>
      <c r="F59" s="2" t="str">
        <f>Eligibility_R1!I59</f>
        <v>Exclude</v>
      </c>
      <c r="G59" s="2" t="str">
        <f>Eligibility_R2!I59</f>
        <v>Exclude</v>
      </c>
      <c r="H59" s="2" t="str">
        <f t="shared" si="1"/>
        <v>Agree</v>
      </c>
      <c r="I59" s="2" t="str">
        <f>Eligibility_R1!J59</f>
        <v>Not PE/HDP</v>
      </c>
      <c r="J59" s="2" t="str">
        <f>Eligibility_R2!J59</f>
        <v>Not ML/AI</v>
      </c>
      <c r="K59" s="2"/>
      <c r="L59" s="2"/>
      <c r="M59" s="2"/>
    </row>
    <row r="60" spans="1:13" ht="70.7">
      <c r="A60" s="2" t="s">
        <v>438</v>
      </c>
      <c r="B60" s="2" t="s">
        <v>439</v>
      </c>
      <c r="C60" s="2" t="s">
        <v>202</v>
      </c>
      <c r="D60" s="2" t="s">
        <v>440</v>
      </c>
      <c r="E60" s="2" t="s">
        <v>441</v>
      </c>
      <c r="F60" s="2" t="str">
        <f>Eligibility_R1!I60</f>
        <v>Include</v>
      </c>
      <c r="G60" s="2" t="str">
        <f>Eligibility_R2!I60</f>
        <v>Include</v>
      </c>
      <c r="H60" s="2" t="str">
        <f t="shared" si="1"/>
        <v>Agree</v>
      </c>
      <c r="I60" s="2">
        <f>Eligibility_R1!J60</f>
        <v>0</v>
      </c>
      <c r="J60" s="2">
        <f>Eligibility_R2!J60</f>
        <v>0</v>
      </c>
      <c r="K60" s="2"/>
      <c r="L60" s="2"/>
      <c r="M60" s="2"/>
    </row>
    <row r="61" spans="1:13" ht="70.7">
      <c r="A61" s="2" t="s">
        <v>443</v>
      </c>
      <c r="B61" s="2" t="s">
        <v>444</v>
      </c>
      <c r="C61" s="2" t="s">
        <v>152</v>
      </c>
      <c r="D61" s="2" t="s">
        <v>445</v>
      </c>
      <c r="E61" s="2" t="s">
        <v>446</v>
      </c>
      <c r="F61" s="2" t="str">
        <f>Eligibility_R1!I61</f>
        <v>Exclude</v>
      </c>
      <c r="G61" s="2" t="str">
        <f>Eligibility_R2!I61</f>
        <v>Exclude</v>
      </c>
      <c r="H61" s="2" t="str">
        <f t="shared" si="1"/>
        <v>Agree</v>
      </c>
      <c r="I61" s="2" t="str">
        <f>Eligibility_R1!J61</f>
        <v>Abstract book/poster compilation</v>
      </c>
      <c r="J61" s="2" t="str">
        <f>Eligibility_R2!J61</f>
        <v>Abstract book/poster compilation</v>
      </c>
      <c r="K61" s="2"/>
      <c r="L61" s="2"/>
      <c r="M61" s="2"/>
    </row>
    <row r="62" spans="1:13" ht="70.7">
      <c r="A62" s="2" t="s">
        <v>448</v>
      </c>
      <c r="B62" s="2" t="s">
        <v>449</v>
      </c>
      <c r="C62" s="2" t="s">
        <v>190</v>
      </c>
      <c r="D62" s="2" t="s">
        <v>450</v>
      </c>
      <c r="E62" s="2" t="s">
        <v>451</v>
      </c>
      <c r="F62" s="2" t="str">
        <f>Eligibility_R1!I62</f>
        <v>Exclude</v>
      </c>
      <c r="G62" s="2" t="str">
        <f>Eligibility_R2!I62</f>
        <v>Include</v>
      </c>
      <c r="H62" s="2" t="str">
        <f t="shared" si="1"/>
        <v>Conflict</v>
      </c>
      <c r="I62" s="2" t="str">
        <f>Eligibility_R1!J62</f>
        <v>Not PE/HDP</v>
      </c>
      <c r="J62" s="2">
        <f>Eligibility_R2!J62</f>
        <v>0</v>
      </c>
      <c r="K62" s="2"/>
      <c r="L62" s="2"/>
      <c r="M62" s="2"/>
    </row>
    <row r="63" spans="1:13" ht="70.7">
      <c r="A63" s="2" t="s">
        <v>453</v>
      </c>
      <c r="B63" s="2" t="s">
        <v>454</v>
      </c>
      <c r="C63" s="2" t="s">
        <v>233</v>
      </c>
      <c r="D63" s="2" t="s">
        <v>455</v>
      </c>
      <c r="E63" s="2" t="s">
        <v>456</v>
      </c>
      <c r="F63" s="2" t="str">
        <f>Eligibility_R1!I63</f>
        <v>Exclude</v>
      </c>
      <c r="G63" s="2" t="str">
        <f>Eligibility_R2!I63</f>
        <v>Exclude</v>
      </c>
      <c r="H63" s="2" t="str">
        <f t="shared" si="1"/>
        <v>Agree</v>
      </c>
      <c r="I63" s="2" t="str">
        <f>Eligibility_R1!J63</f>
        <v>Not PE/HDP</v>
      </c>
      <c r="J63" s="2" t="str">
        <f>Eligibility_R2!J63</f>
        <v>Not PE/HDP</v>
      </c>
      <c r="K63" s="2"/>
      <c r="L63" s="2"/>
      <c r="M63" s="2"/>
    </row>
    <row r="64" spans="1:13" ht="70.7">
      <c r="A64" s="2" t="s">
        <v>458</v>
      </c>
      <c r="B64" s="2" t="s">
        <v>459</v>
      </c>
      <c r="C64" s="2" t="s">
        <v>167</v>
      </c>
      <c r="D64" s="2" t="s">
        <v>460</v>
      </c>
      <c r="E64" s="2" t="s">
        <v>461</v>
      </c>
      <c r="F64" s="2" t="str">
        <f>Eligibility_R1!I64</f>
        <v>Exclude</v>
      </c>
      <c r="G64" s="2" t="str">
        <f>Eligibility_R2!I64</f>
        <v>Exclude</v>
      </c>
      <c r="H64" s="2" t="str">
        <f t="shared" si="1"/>
        <v>Agree</v>
      </c>
      <c r="I64" s="2" t="str">
        <f>Eligibility_R1!J64</f>
        <v>Insufficient abstract-level evidence</v>
      </c>
      <c r="J64" s="2" t="str">
        <f>Eligibility_R2!J64</f>
        <v>Not ML/AI</v>
      </c>
      <c r="K64" s="2"/>
      <c r="L64" s="2"/>
      <c r="M64" s="2"/>
    </row>
    <row r="65" spans="1:13" ht="70.7">
      <c r="A65" s="2" t="s">
        <v>463</v>
      </c>
      <c r="B65" s="2" t="s">
        <v>464</v>
      </c>
      <c r="C65" s="2" t="s">
        <v>157</v>
      </c>
      <c r="D65" s="2" t="s">
        <v>465</v>
      </c>
      <c r="E65" s="2" t="s">
        <v>466</v>
      </c>
      <c r="F65" s="2" t="str">
        <f>Eligibility_R1!I65</f>
        <v>Include</v>
      </c>
      <c r="G65" s="2" t="str">
        <f>Eligibility_R2!I65</f>
        <v>Exclude</v>
      </c>
      <c r="H65" s="2" t="str">
        <f t="shared" si="1"/>
        <v>Conflict</v>
      </c>
      <c r="I65" s="2">
        <f>Eligibility_R1!J65</f>
        <v>0</v>
      </c>
      <c r="J65" s="2" t="str">
        <f>Eligibility_R2!J65</f>
        <v>Not ML/AI</v>
      </c>
      <c r="K65" s="2"/>
      <c r="L65" s="2"/>
      <c r="M65" s="2"/>
    </row>
    <row r="66" spans="1:13" ht="84.95">
      <c r="A66" s="2" t="s">
        <v>470</v>
      </c>
      <c r="B66" s="2" t="s">
        <v>471</v>
      </c>
      <c r="C66" s="2" t="s">
        <v>233</v>
      </c>
      <c r="D66" s="2" t="s">
        <v>472</v>
      </c>
      <c r="E66" s="2" t="s">
        <v>473</v>
      </c>
      <c r="F66" s="2" t="str">
        <f>Eligibility_R1!I66</f>
        <v>Exclude</v>
      </c>
      <c r="G66" s="2" t="str">
        <f>Eligibility_R2!I66</f>
        <v>Exclude</v>
      </c>
      <c r="H66" s="2" t="str">
        <f t="shared" ref="H66:H97" si="2">IF(OR(F66="",G66=""),"Pending",IF(F66=G66,"Agree","Conflict"))</f>
        <v>Agree</v>
      </c>
      <c r="I66" s="2" t="str">
        <f>Eligibility_R1!J66</f>
        <v>Not PE/HDP</v>
      </c>
      <c r="J66" s="2" t="str">
        <f>Eligibility_R2!J66</f>
        <v>Not ML/AI</v>
      </c>
      <c r="K66" s="2"/>
      <c r="L66" s="2"/>
      <c r="M66" s="2"/>
    </row>
    <row r="67" spans="1:13" ht="84.95">
      <c r="A67" s="2" t="s">
        <v>476</v>
      </c>
      <c r="B67" s="2" t="s">
        <v>477</v>
      </c>
      <c r="C67" s="2" t="s">
        <v>233</v>
      </c>
      <c r="D67" s="2" t="s">
        <v>478</v>
      </c>
      <c r="E67" s="2" t="s">
        <v>479</v>
      </c>
      <c r="F67" s="2" t="str">
        <f>Eligibility_R1!I67</f>
        <v>Exclude</v>
      </c>
      <c r="G67" s="2" t="str">
        <f>Eligibility_R2!I67</f>
        <v>Exclude</v>
      </c>
      <c r="H67" s="2" t="str">
        <f t="shared" si="2"/>
        <v>Agree</v>
      </c>
      <c r="I67" s="2" t="str">
        <f>Eligibility_R1!J67</f>
        <v>Not ML/AI</v>
      </c>
      <c r="J67" s="2" t="str">
        <f>Eligibility_R2!J67</f>
        <v>Not ML/AI</v>
      </c>
      <c r="K67" s="2"/>
      <c r="L67" s="2"/>
      <c r="M67" s="2"/>
    </row>
    <row r="68" spans="1:13" ht="84.95">
      <c r="A68" s="2" t="s">
        <v>481</v>
      </c>
      <c r="B68" s="2" t="s">
        <v>482</v>
      </c>
      <c r="C68" s="2" t="s">
        <v>233</v>
      </c>
      <c r="D68" s="2" t="s">
        <v>483</v>
      </c>
      <c r="E68" s="2" t="s">
        <v>484</v>
      </c>
      <c r="F68" s="2" t="str">
        <f>Eligibility_R1!I68</f>
        <v>Exclude</v>
      </c>
      <c r="G68" s="2" t="str">
        <f>Eligibility_R2!I68</f>
        <v>Exclude</v>
      </c>
      <c r="H68" s="2" t="str">
        <f t="shared" si="2"/>
        <v>Agree</v>
      </c>
      <c r="I68" s="2" t="str">
        <f>Eligibility_R1!J68</f>
        <v>Not ML/AI</v>
      </c>
      <c r="J68" s="2" t="str">
        <f>Eligibility_R2!J68</f>
        <v>Not ML/AI</v>
      </c>
      <c r="K68" s="2"/>
      <c r="L68" s="2"/>
      <c r="M68" s="2"/>
    </row>
    <row r="69" spans="1:13" ht="84.95">
      <c r="A69" s="2" t="s">
        <v>486</v>
      </c>
      <c r="B69" s="2" t="s">
        <v>487</v>
      </c>
      <c r="C69" s="2" t="s">
        <v>167</v>
      </c>
      <c r="D69" s="2" t="s">
        <v>488</v>
      </c>
      <c r="E69" s="2" t="s">
        <v>489</v>
      </c>
      <c r="F69" s="2" t="str">
        <f>Eligibility_R1!I69</f>
        <v>Exclude</v>
      </c>
      <c r="G69" s="2" t="str">
        <f>Eligibility_R2!I69</f>
        <v>Exclude</v>
      </c>
      <c r="H69" s="2" t="str">
        <f t="shared" si="2"/>
        <v>Agree</v>
      </c>
      <c r="I69" s="2" t="str">
        <f>Eligibility_R1!J69</f>
        <v>Not ML/AI</v>
      </c>
      <c r="J69" s="2" t="str">
        <f>Eligibility_R2!J69</f>
        <v>Not ML/AI</v>
      </c>
      <c r="K69" s="2"/>
      <c r="L69" s="2"/>
      <c r="M69" s="2"/>
    </row>
    <row r="70" spans="1:13" ht="84.95">
      <c r="A70" s="2" t="s">
        <v>492</v>
      </c>
      <c r="B70" s="2" t="s">
        <v>493</v>
      </c>
      <c r="C70" s="2" t="s">
        <v>233</v>
      </c>
      <c r="D70" s="2" t="s">
        <v>494</v>
      </c>
      <c r="E70" s="2" t="s">
        <v>495</v>
      </c>
      <c r="F70" s="2" t="str">
        <f>Eligibility_R1!I70</f>
        <v>Include</v>
      </c>
      <c r="G70" s="2" t="str">
        <f>Eligibility_R2!I70</f>
        <v>Include</v>
      </c>
      <c r="H70" s="2" t="str">
        <f t="shared" si="2"/>
        <v>Agree</v>
      </c>
      <c r="I70" s="2">
        <f>Eligibility_R1!J70</f>
        <v>0</v>
      </c>
      <c r="J70" s="2">
        <f>Eligibility_R2!J70</f>
        <v>0</v>
      </c>
      <c r="K70" s="2"/>
      <c r="L70" s="2"/>
      <c r="M70" s="2"/>
    </row>
    <row r="71" spans="1:13" ht="84.95">
      <c r="A71" s="2" t="s">
        <v>497</v>
      </c>
      <c r="B71" s="2" t="s">
        <v>498</v>
      </c>
      <c r="C71" s="2" t="s">
        <v>202</v>
      </c>
      <c r="D71" s="2" t="s">
        <v>499</v>
      </c>
      <c r="E71" s="2" t="s">
        <v>500</v>
      </c>
      <c r="F71" s="2" t="str">
        <f>Eligibility_R1!I71</f>
        <v>Exclude</v>
      </c>
      <c r="G71" s="2" t="str">
        <f>Eligibility_R2!I71</f>
        <v>Exclude</v>
      </c>
      <c r="H71" s="2" t="str">
        <f t="shared" si="2"/>
        <v>Agree</v>
      </c>
      <c r="I71" s="2" t="str">
        <f>Eligibility_R1!J71</f>
        <v>Not PE/HDP</v>
      </c>
      <c r="J71" s="2" t="str">
        <f>Eligibility_R2!J71</f>
        <v>Not PE/HDP</v>
      </c>
      <c r="K71" s="2"/>
      <c r="L71" s="2"/>
      <c r="M71" s="2"/>
    </row>
    <row r="72" spans="1:13" ht="70.7">
      <c r="A72" s="2" t="s">
        <v>503</v>
      </c>
      <c r="B72" s="2" t="s">
        <v>504</v>
      </c>
      <c r="C72" s="2" t="s">
        <v>202</v>
      </c>
      <c r="D72" s="2" t="s">
        <v>505</v>
      </c>
      <c r="E72" s="2" t="s">
        <v>506</v>
      </c>
      <c r="F72" s="2" t="str">
        <f>Eligibility_R1!I72</f>
        <v>Include</v>
      </c>
      <c r="G72" s="2" t="str">
        <f>Eligibility_R2!I72</f>
        <v>Include</v>
      </c>
      <c r="H72" s="2" t="str">
        <f t="shared" si="2"/>
        <v>Agree</v>
      </c>
      <c r="I72" s="2">
        <f>Eligibility_R1!J72</f>
        <v>0</v>
      </c>
      <c r="J72" s="2">
        <f>Eligibility_R2!J72</f>
        <v>0</v>
      </c>
      <c r="K72" s="2"/>
      <c r="L72" s="2"/>
      <c r="M72" s="2"/>
    </row>
    <row r="73" spans="1:13" ht="70.7">
      <c r="A73" s="2" t="s">
        <v>509</v>
      </c>
      <c r="B73" s="2" t="s">
        <v>510</v>
      </c>
      <c r="C73" s="2" t="s">
        <v>167</v>
      </c>
      <c r="D73" s="2" t="s">
        <v>511</v>
      </c>
      <c r="E73" s="2" t="s">
        <v>512</v>
      </c>
      <c r="F73" s="2" t="str">
        <f>Eligibility_R1!I73</f>
        <v>Exclude</v>
      </c>
      <c r="G73" s="2" t="str">
        <f>Eligibility_R2!I73</f>
        <v>Exclude</v>
      </c>
      <c r="H73" s="2" t="str">
        <f t="shared" si="2"/>
        <v>Agree</v>
      </c>
      <c r="I73" s="2" t="str">
        <f>Eligibility_R1!J73</f>
        <v>Not PE/HDP</v>
      </c>
      <c r="J73" s="2" t="str">
        <f>Eligibility_R2!J73</f>
        <v>Not ML/AI</v>
      </c>
      <c r="K73" s="2"/>
      <c r="L73" s="2"/>
      <c r="M73" s="2"/>
    </row>
    <row r="74" spans="1:13" ht="84.95">
      <c r="A74" s="2" t="s">
        <v>514</v>
      </c>
      <c r="B74" s="2" t="s">
        <v>515</v>
      </c>
      <c r="C74" s="2" t="s">
        <v>167</v>
      </c>
      <c r="D74" s="2" t="s">
        <v>516</v>
      </c>
      <c r="E74" s="2" t="s">
        <v>517</v>
      </c>
      <c r="F74" s="2" t="str">
        <f>Eligibility_R1!I74</f>
        <v>Include</v>
      </c>
      <c r="G74" s="2" t="str">
        <f>Eligibility_R2!I74</f>
        <v>Unclear</v>
      </c>
      <c r="H74" s="2" t="str">
        <f t="shared" si="2"/>
        <v>Conflict</v>
      </c>
      <c r="I74" s="2">
        <f>Eligibility_R1!J74</f>
        <v>0</v>
      </c>
      <c r="J74" s="2" t="str">
        <f>Eligibility_R2!J74</f>
        <v>Not PE/HDP</v>
      </c>
      <c r="K74" s="2"/>
      <c r="L74" s="2"/>
      <c r="M74" s="2"/>
    </row>
    <row r="75" spans="1:13" ht="70.7">
      <c r="A75" s="2" t="s">
        <v>519</v>
      </c>
      <c r="B75" s="2" t="s">
        <v>520</v>
      </c>
      <c r="C75" s="2" t="s">
        <v>202</v>
      </c>
      <c r="D75" s="2" t="s">
        <v>521</v>
      </c>
      <c r="E75" s="2" t="s">
        <v>522</v>
      </c>
      <c r="F75" s="2" t="str">
        <f>Eligibility_R1!I75</f>
        <v>Exclude</v>
      </c>
      <c r="G75" s="2" t="str">
        <f>Eligibility_R2!I75</f>
        <v>Exclude</v>
      </c>
      <c r="H75" s="2" t="str">
        <f t="shared" si="2"/>
        <v>Agree</v>
      </c>
      <c r="I75" s="2" t="str">
        <f>Eligibility_R1!J75</f>
        <v>Not ML/AI</v>
      </c>
      <c r="J75" s="2" t="str">
        <f>Eligibility_R2!J75</f>
        <v>Not ML/AI</v>
      </c>
      <c r="K75" s="2"/>
      <c r="L75" s="2"/>
      <c r="M75" s="2"/>
    </row>
    <row r="76" spans="1:13" ht="70.7">
      <c r="A76" s="2" t="s">
        <v>524</v>
      </c>
      <c r="B76" s="2" t="s">
        <v>525</v>
      </c>
      <c r="C76" s="2" t="s">
        <v>190</v>
      </c>
      <c r="D76" s="2" t="s">
        <v>526</v>
      </c>
      <c r="E76" s="2" t="s">
        <v>527</v>
      </c>
      <c r="F76" s="2" t="str">
        <f>Eligibility_R1!I76</f>
        <v>Exclude</v>
      </c>
      <c r="G76" s="2" t="str">
        <f>Eligibility_R2!I76</f>
        <v>Exclude</v>
      </c>
      <c r="H76" s="2" t="str">
        <f t="shared" si="2"/>
        <v>Agree</v>
      </c>
      <c r="I76" s="2" t="str">
        <f>Eligibility_R1!J76</f>
        <v>Not PE/HDP</v>
      </c>
      <c r="J76" s="2" t="str">
        <f>Eligibility_R2!J76</f>
        <v>Not PE/HDP</v>
      </c>
      <c r="K76" s="2"/>
      <c r="L76" s="2"/>
      <c r="M76" s="2"/>
    </row>
    <row r="77" spans="1:13" ht="70.7">
      <c r="A77" s="2" t="s">
        <v>529</v>
      </c>
      <c r="B77" s="2" t="s">
        <v>530</v>
      </c>
      <c r="C77" s="2" t="s">
        <v>202</v>
      </c>
      <c r="D77" s="2" t="s">
        <v>531</v>
      </c>
      <c r="E77" s="2" t="s">
        <v>532</v>
      </c>
      <c r="F77" s="2" t="str">
        <f>Eligibility_R1!I77</f>
        <v>Include</v>
      </c>
      <c r="G77" s="2" t="str">
        <f>Eligibility_R2!I77</f>
        <v>Include</v>
      </c>
      <c r="H77" s="2" t="str">
        <f t="shared" si="2"/>
        <v>Agree</v>
      </c>
      <c r="I77" s="2">
        <f>Eligibility_R1!J77</f>
        <v>0</v>
      </c>
      <c r="J77" s="2">
        <f>Eligibility_R2!J77</f>
        <v>0</v>
      </c>
      <c r="K77" s="2"/>
      <c r="L77" s="2"/>
      <c r="M77" s="2"/>
    </row>
    <row r="78" spans="1:13" ht="70.7">
      <c r="A78" s="2" t="s">
        <v>534</v>
      </c>
      <c r="B78" s="2" t="s">
        <v>535</v>
      </c>
      <c r="C78" s="2" t="s">
        <v>157</v>
      </c>
      <c r="D78" s="2" t="s">
        <v>536</v>
      </c>
      <c r="E78" s="2" t="s">
        <v>537</v>
      </c>
      <c r="F78" s="2" t="str">
        <f>Eligibility_R1!I78</f>
        <v>Include</v>
      </c>
      <c r="G78" s="2" t="str">
        <f>Eligibility_R2!I78</f>
        <v>Include</v>
      </c>
      <c r="H78" s="2" t="str">
        <f t="shared" si="2"/>
        <v>Agree</v>
      </c>
      <c r="I78" s="2">
        <f>Eligibility_R1!J78</f>
        <v>0</v>
      </c>
      <c r="J78" s="2">
        <f>Eligibility_R2!J78</f>
        <v>0</v>
      </c>
      <c r="K78" s="2"/>
      <c r="L78" s="2"/>
      <c r="M78" s="2"/>
    </row>
    <row r="79" spans="1:13" ht="70.7">
      <c r="A79" s="2" t="s">
        <v>539</v>
      </c>
      <c r="B79" s="2" t="s">
        <v>540</v>
      </c>
      <c r="C79" s="2" t="s">
        <v>157</v>
      </c>
      <c r="D79" s="2" t="s">
        <v>541</v>
      </c>
      <c r="E79" s="2" t="s">
        <v>542</v>
      </c>
      <c r="F79" s="2" t="str">
        <f>Eligibility_R1!I79</f>
        <v>Exclude</v>
      </c>
      <c r="G79" s="2" t="str">
        <f>Eligibility_R2!I79</f>
        <v>Exclude</v>
      </c>
      <c r="H79" s="2" t="str">
        <f t="shared" si="2"/>
        <v>Agree</v>
      </c>
      <c r="I79" s="2" t="str">
        <f>Eligibility_R1!J79</f>
        <v>Not PE/HDP</v>
      </c>
      <c r="J79" s="2" t="str">
        <f>Eligibility_R2!J79</f>
        <v>Not ML/AI</v>
      </c>
      <c r="K79" s="2"/>
      <c r="L79" s="2"/>
      <c r="M79" s="2"/>
    </row>
    <row r="80" spans="1:13" ht="84.95">
      <c r="A80" s="2" t="s">
        <v>544</v>
      </c>
      <c r="B80" s="2" t="s">
        <v>545</v>
      </c>
      <c r="C80" s="2" t="s">
        <v>167</v>
      </c>
      <c r="D80" s="2" t="s">
        <v>546</v>
      </c>
      <c r="E80" s="2" t="s">
        <v>547</v>
      </c>
      <c r="F80" s="2" t="str">
        <f>Eligibility_R1!I80</f>
        <v>Include</v>
      </c>
      <c r="G80" s="2" t="str">
        <f>Eligibility_R2!I80</f>
        <v>Include</v>
      </c>
      <c r="H80" s="2" t="str">
        <f t="shared" si="2"/>
        <v>Agree</v>
      </c>
      <c r="I80" s="2">
        <f>Eligibility_R1!J80</f>
        <v>0</v>
      </c>
      <c r="J80" s="2">
        <f>Eligibility_R2!J80</f>
        <v>0</v>
      </c>
      <c r="K80" s="2"/>
      <c r="L80" s="2"/>
      <c r="M80" s="2"/>
    </row>
    <row r="81" spans="1:13" ht="70.7">
      <c r="A81" s="2" t="s">
        <v>549</v>
      </c>
      <c r="B81" s="2" t="s">
        <v>550</v>
      </c>
      <c r="C81" s="2" t="s">
        <v>190</v>
      </c>
      <c r="D81" s="2" t="s">
        <v>551</v>
      </c>
      <c r="E81" s="2" t="s">
        <v>552</v>
      </c>
      <c r="F81" s="2" t="str">
        <f>Eligibility_R1!I81</f>
        <v>Exclude</v>
      </c>
      <c r="G81" s="2" t="str">
        <f>Eligibility_R2!I81</f>
        <v>Include</v>
      </c>
      <c r="H81" s="2" t="str">
        <f t="shared" si="2"/>
        <v>Conflict</v>
      </c>
      <c r="I81" s="2" t="str">
        <f>Eligibility_R1!J81</f>
        <v>Not ML/AI</v>
      </c>
      <c r="J81" s="2">
        <f>Eligibility_R2!J81</f>
        <v>0</v>
      </c>
      <c r="K81" s="2"/>
      <c r="L81" s="2"/>
      <c r="M81" s="2"/>
    </row>
    <row r="82" spans="1:13" ht="70.7">
      <c r="A82" s="2" t="s">
        <v>555</v>
      </c>
      <c r="B82" s="2" t="s">
        <v>556</v>
      </c>
      <c r="C82" s="2" t="s">
        <v>167</v>
      </c>
      <c r="D82" s="2" t="s">
        <v>557</v>
      </c>
      <c r="E82" s="2" t="s">
        <v>558</v>
      </c>
      <c r="F82" s="2" t="str">
        <f>Eligibility_R1!I82</f>
        <v>Exclude</v>
      </c>
      <c r="G82" s="2" t="str">
        <f>Eligibility_R2!I82</f>
        <v>Exclude</v>
      </c>
      <c r="H82" s="2" t="str">
        <f t="shared" si="2"/>
        <v>Agree</v>
      </c>
      <c r="I82" s="2" t="str">
        <f>Eligibility_R1!J82</f>
        <v>Abstract book/poster compilation</v>
      </c>
      <c r="J82" s="2" t="str">
        <f>Eligibility_R2!J82</f>
        <v>Not ML/AI</v>
      </c>
      <c r="K82" s="2"/>
      <c r="L82" s="2"/>
      <c r="M82" s="2"/>
    </row>
    <row r="83" spans="1:13" ht="70.7">
      <c r="A83" s="2" t="s">
        <v>560</v>
      </c>
      <c r="B83" s="2" t="s">
        <v>561</v>
      </c>
      <c r="C83" s="2" t="s">
        <v>233</v>
      </c>
      <c r="D83" s="2" t="s">
        <v>562</v>
      </c>
      <c r="E83" s="2" t="s">
        <v>563</v>
      </c>
      <c r="F83" s="2" t="str">
        <f>Eligibility_R1!I83</f>
        <v>Include</v>
      </c>
      <c r="G83" s="2" t="str">
        <f>Eligibility_R2!I83</f>
        <v>Include</v>
      </c>
      <c r="H83" s="2" t="str">
        <f t="shared" si="2"/>
        <v>Agree</v>
      </c>
      <c r="I83" s="2">
        <f>Eligibility_R1!J83</f>
        <v>0</v>
      </c>
      <c r="J83" s="2">
        <f>Eligibility_R2!J83</f>
        <v>0</v>
      </c>
      <c r="K83" s="2"/>
      <c r="L83" s="2"/>
      <c r="M83" s="2"/>
    </row>
    <row r="84" spans="1:13" ht="84.95">
      <c r="A84" s="2" t="s">
        <v>565</v>
      </c>
      <c r="B84" s="2" t="s">
        <v>566</v>
      </c>
      <c r="C84" s="2" t="s">
        <v>202</v>
      </c>
      <c r="D84" s="2" t="s">
        <v>567</v>
      </c>
      <c r="E84" s="2" t="s">
        <v>568</v>
      </c>
      <c r="F84" s="2" t="str">
        <f>Eligibility_R1!I84</f>
        <v>Include</v>
      </c>
      <c r="G84" s="2" t="str">
        <f>Eligibility_R2!I84</f>
        <v>Exclude</v>
      </c>
      <c r="H84" s="2" t="str">
        <f t="shared" si="2"/>
        <v>Conflict</v>
      </c>
      <c r="I84" s="2">
        <f>Eligibility_R1!J84</f>
        <v>0</v>
      </c>
      <c r="J84" s="2" t="str">
        <f>Eligibility_R2!J84</f>
        <v>Not PE/HDP</v>
      </c>
      <c r="K84" s="2"/>
      <c r="L84" s="2"/>
      <c r="M84" s="2"/>
    </row>
    <row r="85" spans="1:13" ht="84.95">
      <c r="A85" s="2" t="s">
        <v>570</v>
      </c>
      <c r="B85" s="2" t="s">
        <v>571</v>
      </c>
      <c r="C85" s="2" t="s">
        <v>233</v>
      </c>
      <c r="D85" s="2" t="s">
        <v>572</v>
      </c>
      <c r="E85" s="2" t="s">
        <v>573</v>
      </c>
      <c r="F85" s="2" t="str">
        <f>Eligibility_R1!I85</f>
        <v>Exclude</v>
      </c>
      <c r="G85" s="2" t="str">
        <f>Eligibility_R2!I85</f>
        <v>Exclude</v>
      </c>
      <c r="H85" s="2" t="str">
        <f t="shared" si="2"/>
        <v>Agree</v>
      </c>
      <c r="I85" s="2" t="str">
        <f>Eligibility_R1!J85</f>
        <v>Not PE/HDP</v>
      </c>
      <c r="J85" s="2" t="str">
        <f>Eligibility_R2!J85</f>
        <v>Not PE/HDP</v>
      </c>
      <c r="K85" s="2"/>
      <c r="L85" s="2"/>
      <c r="M85" s="2"/>
    </row>
    <row r="86" spans="1:13" ht="84.95">
      <c r="A86" s="2" t="s">
        <v>575</v>
      </c>
      <c r="B86" s="2" t="s">
        <v>576</v>
      </c>
      <c r="C86" s="2" t="s">
        <v>202</v>
      </c>
      <c r="D86" s="2" t="s">
        <v>577</v>
      </c>
      <c r="E86" s="2" t="s">
        <v>578</v>
      </c>
      <c r="F86" s="2" t="str">
        <f>Eligibility_R1!I86</f>
        <v>Exclude</v>
      </c>
      <c r="G86" s="2" t="str">
        <f>Eligibility_R2!I86</f>
        <v>Exclude</v>
      </c>
      <c r="H86" s="2" t="str">
        <f t="shared" si="2"/>
        <v>Agree</v>
      </c>
      <c r="I86" s="2" t="str">
        <f>Eligibility_R1!J86</f>
        <v>Not PE/HDP</v>
      </c>
      <c r="J86" s="2" t="str">
        <f>Eligibility_R2!J86</f>
        <v>Not ML/AI</v>
      </c>
      <c r="K86" s="2"/>
      <c r="L86" s="2"/>
      <c r="M86" s="2"/>
    </row>
    <row r="87" spans="1:13" ht="70.7">
      <c r="A87" s="2" t="s">
        <v>581</v>
      </c>
      <c r="B87" s="2" t="s">
        <v>582</v>
      </c>
      <c r="C87" s="2" t="s">
        <v>233</v>
      </c>
      <c r="D87" s="2" t="s">
        <v>583</v>
      </c>
      <c r="E87" s="2" t="s">
        <v>584</v>
      </c>
      <c r="F87" s="2" t="str">
        <f>Eligibility_R1!I87</f>
        <v>Exclude</v>
      </c>
      <c r="G87" s="2" t="str">
        <f>Eligibility_R2!I87</f>
        <v>Exclude</v>
      </c>
      <c r="H87" s="2" t="str">
        <f t="shared" si="2"/>
        <v>Agree</v>
      </c>
      <c r="I87" s="2" t="str">
        <f>Eligibility_R1!J87</f>
        <v>Not PE/HDP</v>
      </c>
      <c r="J87" s="2" t="str">
        <f>Eligibility_R2!J87</f>
        <v>Not ML/AI</v>
      </c>
      <c r="K87" s="2"/>
      <c r="L87" s="2"/>
      <c r="M87" s="2"/>
    </row>
    <row r="88" spans="1:13" ht="70.7">
      <c r="A88" s="2" t="s">
        <v>586</v>
      </c>
      <c r="B88" s="2" t="s">
        <v>587</v>
      </c>
      <c r="C88" s="2" t="s">
        <v>152</v>
      </c>
      <c r="D88" s="2" t="s">
        <v>588</v>
      </c>
      <c r="E88" s="2" t="s">
        <v>589</v>
      </c>
      <c r="F88" s="2" t="str">
        <f>Eligibility_R1!I88</f>
        <v>Include</v>
      </c>
      <c r="G88" s="2" t="str">
        <f>Eligibility_R2!I88</f>
        <v>Include</v>
      </c>
      <c r="H88" s="2" t="str">
        <f t="shared" si="2"/>
        <v>Agree</v>
      </c>
      <c r="I88" s="2">
        <f>Eligibility_R1!J88</f>
        <v>0</v>
      </c>
      <c r="J88" s="2">
        <f>Eligibility_R2!J88</f>
        <v>0</v>
      </c>
      <c r="K88" s="2"/>
      <c r="L88" s="2"/>
      <c r="M88" s="2"/>
    </row>
    <row r="89" spans="1:13" ht="84.95">
      <c r="A89" s="2" t="s">
        <v>591</v>
      </c>
      <c r="B89" s="2" t="s">
        <v>592</v>
      </c>
      <c r="C89" s="2" t="s">
        <v>167</v>
      </c>
      <c r="D89" s="2" t="s">
        <v>593</v>
      </c>
      <c r="E89" s="2" t="s">
        <v>594</v>
      </c>
      <c r="F89" s="2" t="str">
        <f>Eligibility_R1!I89</f>
        <v>Include</v>
      </c>
      <c r="G89" s="2" t="str">
        <f>Eligibility_R2!I89</f>
        <v>Include</v>
      </c>
      <c r="H89" s="2" t="str">
        <f t="shared" si="2"/>
        <v>Agree</v>
      </c>
      <c r="I89" s="2">
        <f>Eligibility_R1!J89</f>
        <v>0</v>
      </c>
      <c r="J89" s="2">
        <f>Eligibility_R2!J89</f>
        <v>0</v>
      </c>
      <c r="K89" s="2"/>
      <c r="L89" s="2"/>
      <c r="M89" s="2"/>
    </row>
    <row r="90" spans="1:13" ht="70.7">
      <c r="A90" s="2" t="s">
        <v>596</v>
      </c>
      <c r="B90" s="2" t="s">
        <v>597</v>
      </c>
      <c r="C90" s="2" t="s">
        <v>141</v>
      </c>
      <c r="D90" s="2" t="s">
        <v>598</v>
      </c>
      <c r="E90" s="2" t="s">
        <v>599</v>
      </c>
      <c r="F90" s="2" t="str">
        <f>Eligibility_R1!I90</f>
        <v>Include</v>
      </c>
      <c r="G90" s="2" t="str">
        <f>Eligibility_R2!I90</f>
        <v>Include</v>
      </c>
      <c r="H90" s="2" t="str">
        <f t="shared" si="2"/>
        <v>Agree</v>
      </c>
      <c r="I90" s="2">
        <f>Eligibility_R1!J90</f>
        <v>0</v>
      </c>
      <c r="J90" s="2">
        <f>Eligibility_R2!J90</f>
        <v>0</v>
      </c>
      <c r="K90" s="2"/>
      <c r="L90" s="2"/>
      <c r="M90" s="2"/>
    </row>
    <row r="91" spans="1:13" ht="84.95">
      <c r="A91" s="2" t="s">
        <v>601</v>
      </c>
      <c r="B91" s="2" t="s">
        <v>602</v>
      </c>
      <c r="C91" s="2" t="s">
        <v>202</v>
      </c>
      <c r="D91" s="2" t="s">
        <v>603</v>
      </c>
      <c r="E91" s="2" t="s">
        <v>604</v>
      </c>
      <c r="F91" s="2" t="str">
        <f>Eligibility_R1!I91</f>
        <v>Exclude</v>
      </c>
      <c r="G91" s="2" t="str">
        <f>Eligibility_R2!I91</f>
        <v>Exclude</v>
      </c>
      <c r="H91" s="2" t="str">
        <f t="shared" si="2"/>
        <v>Agree</v>
      </c>
      <c r="I91" s="2" t="str">
        <f>Eligibility_R1!J91</f>
        <v>Not PE/HDP</v>
      </c>
      <c r="J91" s="2" t="str">
        <f>Eligibility_R2!J91</f>
        <v>Not PE/HDP</v>
      </c>
      <c r="K91" s="2"/>
      <c r="L91" s="2"/>
      <c r="M91" s="2"/>
    </row>
    <row r="92" spans="1:13" ht="70.7">
      <c r="A92" s="2" t="s">
        <v>606</v>
      </c>
      <c r="B92" s="2" t="s">
        <v>607</v>
      </c>
      <c r="C92" s="2" t="s">
        <v>233</v>
      </c>
      <c r="D92" s="2" t="s">
        <v>608</v>
      </c>
      <c r="E92" s="2" t="s">
        <v>609</v>
      </c>
      <c r="F92" s="2" t="str">
        <f>Eligibility_R1!I92</f>
        <v>Exclude</v>
      </c>
      <c r="G92" s="2" t="str">
        <f>Eligibility_R2!I92</f>
        <v>Exclude</v>
      </c>
      <c r="H92" s="2" t="str">
        <f t="shared" si="2"/>
        <v>Agree</v>
      </c>
      <c r="I92" s="2" t="str">
        <f>Eligibility_R1!J92</f>
        <v>Not PE/HDP</v>
      </c>
      <c r="J92" s="2" t="str">
        <f>Eligibility_R2!J92</f>
        <v>Not ML/AI</v>
      </c>
      <c r="K92" s="2"/>
      <c r="L92" s="2"/>
      <c r="M92" s="2"/>
    </row>
    <row r="93" spans="1:13" ht="70.7">
      <c r="A93" s="2" t="s">
        <v>611</v>
      </c>
      <c r="B93" s="2" t="s">
        <v>612</v>
      </c>
      <c r="C93" s="2" t="s">
        <v>202</v>
      </c>
      <c r="D93" s="2" t="s">
        <v>613</v>
      </c>
      <c r="E93" s="2" t="s">
        <v>614</v>
      </c>
      <c r="F93" s="2" t="str">
        <f>Eligibility_R1!I93</f>
        <v>Include</v>
      </c>
      <c r="G93" s="2" t="str">
        <f>Eligibility_R2!I93</f>
        <v>Include</v>
      </c>
      <c r="H93" s="2" t="str">
        <f t="shared" si="2"/>
        <v>Agree</v>
      </c>
      <c r="I93" s="2">
        <f>Eligibility_R1!J93</f>
        <v>0</v>
      </c>
      <c r="J93" s="2">
        <f>Eligibility_R2!J93</f>
        <v>0</v>
      </c>
      <c r="K93" s="2"/>
      <c r="L93" s="2"/>
      <c r="M93" s="2"/>
    </row>
    <row r="94" spans="1:13" ht="70.7">
      <c r="A94" s="2" t="s">
        <v>616</v>
      </c>
      <c r="B94" s="2" t="s">
        <v>617</v>
      </c>
      <c r="C94" s="2" t="s">
        <v>167</v>
      </c>
      <c r="D94" s="2" t="s">
        <v>618</v>
      </c>
      <c r="E94" s="2" t="s">
        <v>619</v>
      </c>
      <c r="F94" s="2" t="str">
        <f>Eligibility_R1!I94</f>
        <v>Exclude</v>
      </c>
      <c r="G94" s="2" t="str">
        <f>Eligibility_R2!I94</f>
        <v>Exclude</v>
      </c>
      <c r="H94" s="2" t="str">
        <f t="shared" si="2"/>
        <v>Agree</v>
      </c>
      <c r="I94" s="2" t="str">
        <f>Eligibility_R1!J94</f>
        <v>Not PE/HDP</v>
      </c>
      <c r="J94" s="2" t="str">
        <f>Eligibility_R2!J94</f>
        <v>Not PE/HDP</v>
      </c>
      <c r="K94" s="2"/>
      <c r="L94" s="2"/>
      <c r="M94" s="2"/>
    </row>
    <row r="95" spans="1:13" ht="84.95">
      <c r="A95" s="2" t="s">
        <v>622</v>
      </c>
      <c r="B95" s="2" t="s">
        <v>623</v>
      </c>
      <c r="C95" s="2" t="s">
        <v>190</v>
      </c>
      <c r="D95" s="2" t="s">
        <v>624</v>
      </c>
      <c r="E95" s="2" t="s">
        <v>625</v>
      </c>
      <c r="F95" s="2" t="str">
        <f>Eligibility_R1!I95</f>
        <v>Exclude</v>
      </c>
      <c r="G95" s="2" t="str">
        <f>Eligibility_R2!I95</f>
        <v>Exclude</v>
      </c>
      <c r="H95" s="2" t="str">
        <f t="shared" si="2"/>
        <v>Agree</v>
      </c>
      <c r="I95" s="2" t="str">
        <f>Eligibility_R1!J95</f>
        <v>Contextual review/guideline/methodological reference</v>
      </c>
      <c r="J95" s="2" t="str">
        <f>Eligibility_R2!J95</f>
        <v>Not ML/AI</v>
      </c>
      <c r="K95" s="2"/>
      <c r="L95" s="2"/>
      <c r="M95" s="2"/>
    </row>
    <row r="96" spans="1:13" ht="84.95">
      <c r="A96" s="2" t="s">
        <v>627</v>
      </c>
      <c r="B96" s="2" t="s">
        <v>628</v>
      </c>
      <c r="C96" s="2" t="s">
        <v>202</v>
      </c>
      <c r="D96" s="2" t="s">
        <v>629</v>
      </c>
      <c r="E96" s="2" t="s">
        <v>630</v>
      </c>
      <c r="F96" s="2" t="str">
        <f>Eligibility_R1!I96</f>
        <v>Exclude</v>
      </c>
      <c r="G96" s="2" t="str">
        <f>Eligibility_R2!I96</f>
        <v>Exclude</v>
      </c>
      <c r="H96" s="2" t="str">
        <f t="shared" si="2"/>
        <v>Agree</v>
      </c>
      <c r="I96" s="2" t="str">
        <f>Eligibility_R1!J96</f>
        <v>Abstract book/poster compilation</v>
      </c>
      <c r="J96" s="2" t="str">
        <f>Eligibility_R2!J96</f>
        <v>Not ML/AI</v>
      </c>
      <c r="K96" s="2"/>
      <c r="L96" s="2"/>
      <c r="M96" s="2"/>
    </row>
    <row r="97" spans="1:13" ht="70.7">
      <c r="A97" s="2" t="s">
        <v>632</v>
      </c>
      <c r="B97" s="2" t="s">
        <v>633</v>
      </c>
      <c r="C97" s="2" t="s">
        <v>233</v>
      </c>
      <c r="D97" s="2" t="s">
        <v>634</v>
      </c>
      <c r="E97" s="2" t="s">
        <v>635</v>
      </c>
      <c r="F97" s="2" t="str">
        <f>Eligibility_R1!I97</f>
        <v>Exclude</v>
      </c>
      <c r="G97" s="2" t="str">
        <f>Eligibility_R2!I97</f>
        <v>Include</v>
      </c>
      <c r="H97" s="2" t="str">
        <f t="shared" si="2"/>
        <v>Conflict</v>
      </c>
      <c r="I97" s="2" t="str">
        <f>Eligibility_R1!J97</f>
        <v>Contextual review/guideline/methodological reference</v>
      </c>
      <c r="J97" s="2">
        <f>Eligibility_R2!J97</f>
        <v>0</v>
      </c>
      <c r="K97" s="2"/>
      <c r="L97" s="2"/>
      <c r="M97" s="2"/>
    </row>
    <row r="98" spans="1:13" ht="84.95">
      <c r="A98" s="2" t="s">
        <v>638</v>
      </c>
      <c r="B98" s="2" t="s">
        <v>639</v>
      </c>
      <c r="C98" s="2" t="s">
        <v>202</v>
      </c>
      <c r="D98" s="2" t="s">
        <v>640</v>
      </c>
      <c r="E98" s="2" t="s">
        <v>641</v>
      </c>
      <c r="F98" s="2" t="str">
        <f>Eligibility_R1!I98</f>
        <v>Include</v>
      </c>
      <c r="G98" s="2" t="str">
        <f>Eligibility_R2!I98</f>
        <v>Include</v>
      </c>
      <c r="H98" s="2" t="str">
        <f t="shared" ref="H98:H129" si="3">IF(OR(F98="",G98=""),"Pending",IF(F98=G98,"Agree","Conflict"))</f>
        <v>Agree</v>
      </c>
      <c r="I98" s="2">
        <f>Eligibility_R1!J98</f>
        <v>0</v>
      </c>
      <c r="J98" s="2">
        <f>Eligibility_R2!J98</f>
        <v>0</v>
      </c>
      <c r="K98" s="2"/>
      <c r="L98" s="2"/>
      <c r="M98" s="2"/>
    </row>
    <row r="99" spans="1:13" ht="70.7">
      <c r="A99" s="2" t="s">
        <v>644</v>
      </c>
      <c r="B99" s="2" t="s">
        <v>645</v>
      </c>
      <c r="C99" s="2" t="s">
        <v>202</v>
      </c>
      <c r="D99" s="2" t="s">
        <v>646</v>
      </c>
      <c r="E99" s="2" t="s">
        <v>647</v>
      </c>
      <c r="F99" s="2" t="str">
        <f>Eligibility_R1!I99</f>
        <v>Exclude</v>
      </c>
      <c r="G99" s="2" t="str">
        <f>Eligibility_R2!I99</f>
        <v>Exclude</v>
      </c>
      <c r="H99" s="2" t="str">
        <f t="shared" si="3"/>
        <v>Agree</v>
      </c>
      <c r="I99" s="2" t="str">
        <f>Eligibility_R1!J99</f>
        <v>Not PE/HDP</v>
      </c>
      <c r="J99" s="2" t="str">
        <f>Eligibility_R2!J99</f>
        <v>Not PE/HDP</v>
      </c>
      <c r="K99" s="2"/>
      <c r="L99" s="2"/>
      <c r="M99" s="2"/>
    </row>
    <row r="100" spans="1:13" ht="70.7">
      <c r="A100" s="2" t="s">
        <v>650</v>
      </c>
      <c r="B100" s="2" t="s">
        <v>651</v>
      </c>
      <c r="C100" s="2" t="s">
        <v>233</v>
      </c>
      <c r="D100" s="2" t="s">
        <v>652</v>
      </c>
      <c r="E100" s="2" t="s">
        <v>653</v>
      </c>
      <c r="F100" s="2" t="str">
        <f>Eligibility_R1!I100</f>
        <v>Exclude</v>
      </c>
      <c r="G100" s="2" t="str">
        <f>Eligibility_R2!I100</f>
        <v>Exclude</v>
      </c>
      <c r="H100" s="2" t="str">
        <f t="shared" si="3"/>
        <v>Agree</v>
      </c>
      <c r="I100" s="2" t="str">
        <f>Eligibility_R1!J100</f>
        <v>Not PE/HDP</v>
      </c>
      <c r="J100" s="2" t="str">
        <f>Eligibility_R2!J100</f>
        <v>Not ML/AI</v>
      </c>
      <c r="K100" s="2"/>
      <c r="L100" s="2"/>
      <c r="M100" s="2"/>
    </row>
    <row r="101" spans="1:13" ht="84.95">
      <c r="A101" s="2" t="s">
        <v>655</v>
      </c>
      <c r="B101" s="2" t="s">
        <v>656</v>
      </c>
      <c r="C101" s="2" t="s">
        <v>299</v>
      </c>
      <c r="D101" s="2" t="s">
        <v>657</v>
      </c>
      <c r="E101" s="2" t="s">
        <v>658</v>
      </c>
      <c r="F101" s="2" t="str">
        <f>Eligibility_R1!I101</f>
        <v>Exclude</v>
      </c>
      <c r="G101" s="2" t="str">
        <f>Eligibility_R2!I101</f>
        <v>Exclude</v>
      </c>
      <c r="H101" s="2" t="str">
        <f t="shared" si="3"/>
        <v>Agree</v>
      </c>
      <c r="I101" s="2" t="str">
        <f>Eligibility_R1!J101</f>
        <v>Not ML/AI</v>
      </c>
      <c r="J101" s="2" t="str">
        <f>Eligibility_R2!J101</f>
        <v>Not ML/AI</v>
      </c>
      <c r="K101" s="2"/>
      <c r="L101" s="2"/>
      <c r="M101" s="2"/>
    </row>
    <row r="102" spans="1:13" ht="70.7">
      <c r="A102" s="2" t="s">
        <v>660</v>
      </c>
      <c r="B102" s="2" t="s">
        <v>661</v>
      </c>
      <c r="C102" s="2" t="s">
        <v>202</v>
      </c>
      <c r="D102" s="2" t="s">
        <v>662</v>
      </c>
      <c r="E102" s="2" t="s">
        <v>663</v>
      </c>
      <c r="F102" s="2" t="str">
        <f>Eligibility_R1!I102</f>
        <v>Include</v>
      </c>
      <c r="G102" s="2" t="str">
        <f>Eligibility_R2!I102</f>
        <v>Include</v>
      </c>
      <c r="H102" s="2" t="str">
        <f t="shared" si="3"/>
        <v>Agree</v>
      </c>
      <c r="I102" s="2">
        <f>Eligibility_R1!J102</f>
        <v>0</v>
      </c>
      <c r="J102" s="2">
        <f>Eligibility_R2!J102</f>
        <v>0</v>
      </c>
      <c r="K102" s="2"/>
      <c r="L102" s="2"/>
      <c r="M102" s="2"/>
    </row>
    <row r="103" spans="1:13" ht="84.95">
      <c r="A103" s="2" t="s">
        <v>665</v>
      </c>
      <c r="B103" s="2" t="s">
        <v>666</v>
      </c>
      <c r="C103" s="2" t="s">
        <v>141</v>
      </c>
      <c r="D103" s="2" t="s">
        <v>667</v>
      </c>
      <c r="E103" s="2" t="s">
        <v>668</v>
      </c>
      <c r="F103" s="2" t="str">
        <f>Eligibility_R1!I103</f>
        <v>Exclude</v>
      </c>
      <c r="G103" s="2" t="str">
        <f>Eligibility_R2!I103</f>
        <v>Include</v>
      </c>
      <c r="H103" s="2" t="str">
        <f t="shared" si="3"/>
        <v>Conflict</v>
      </c>
      <c r="I103" s="2" t="str">
        <f>Eligibility_R1!J103</f>
        <v>Contextual review/guideline/methodological reference</v>
      </c>
      <c r="J103" s="2">
        <f>Eligibility_R2!J103</f>
        <v>0</v>
      </c>
      <c r="K103" s="2"/>
      <c r="L103" s="2"/>
      <c r="M103" s="2"/>
    </row>
    <row r="104" spans="1:13" ht="70.7">
      <c r="A104" s="2" t="s">
        <v>670</v>
      </c>
      <c r="B104" s="2" t="s">
        <v>671</v>
      </c>
      <c r="C104" s="2" t="s">
        <v>233</v>
      </c>
      <c r="D104" s="2" t="s">
        <v>672</v>
      </c>
      <c r="E104" s="2" t="s">
        <v>673</v>
      </c>
      <c r="F104" s="2" t="str">
        <f>Eligibility_R1!I104</f>
        <v>Exclude</v>
      </c>
      <c r="G104" s="2" t="str">
        <f>Eligibility_R2!I104</f>
        <v>Exclude</v>
      </c>
      <c r="H104" s="2" t="str">
        <f t="shared" si="3"/>
        <v>Agree</v>
      </c>
      <c r="I104" s="2" t="str">
        <f>Eligibility_R1!J104</f>
        <v>Not PE/HDP</v>
      </c>
      <c r="J104" s="2" t="str">
        <f>Eligibility_R2!J104</f>
        <v>Not ML/AI</v>
      </c>
      <c r="K104" s="2"/>
      <c r="L104" s="2"/>
      <c r="M104" s="2"/>
    </row>
    <row r="105" spans="1:13" ht="84.95">
      <c r="A105" s="2" t="s">
        <v>675</v>
      </c>
      <c r="B105" s="2" t="s">
        <v>676</v>
      </c>
      <c r="C105" s="2" t="s">
        <v>202</v>
      </c>
      <c r="D105" s="2" t="s">
        <v>677</v>
      </c>
      <c r="E105" s="2" t="s">
        <v>678</v>
      </c>
      <c r="F105" s="2" t="str">
        <f>Eligibility_R1!I105</f>
        <v>Exclude</v>
      </c>
      <c r="G105" s="2" t="str">
        <f>Eligibility_R2!I105</f>
        <v>Exclude</v>
      </c>
      <c r="H105" s="2" t="str">
        <f t="shared" si="3"/>
        <v>Agree</v>
      </c>
      <c r="I105" s="2" t="str">
        <f>Eligibility_R1!J105</f>
        <v>Not ML/AI</v>
      </c>
      <c r="J105" s="2" t="str">
        <f>Eligibility_R2!J105</f>
        <v>Not ML/AI</v>
      </c>
      <c r="K105" s="2"/>
      <c r="L105" s="2"/>
      <c r="M105" s="2"/>
    </row>
    <row r="106" spans="1:13" ht="70.7">
      <c r="A106" s="2" t="s">
        <v>681</v>
      </c>
      <c r="B106" s="2" t="s">
        <v>682</v>
      </c>
      <c r="C106" s="2" t="s">
        <v>202</v>
      </c>
      <c r="D106" s="2" t="s">
        <v>683</v>
      </c>
      <c r="E106" s="2" t="s">
        <v>684</v>
      </c>
      <c r="F106" s="2" t="str">
        <f>Eligibility_R1!I106</f>
        <v>Exclude</v>
      </c>
      <c r="G106" s="2" t="str">
        <f>Eligibility_R2!I106</f>
        <v>Exclude</v>
      </c>
      <c r="H106" s="2" t="str">
        <f t="shared" si="3"/>
        <v>Agree</v>
      </c>
      <c r="I106" s="2" t="str">
        <f>Eligibility_R1!J106</f>
        <v>Not ML/AI</v>
      </c>
      <c r="J106" s="2" t="str">
        <f>Eligibility_R2!J106</f>
        <v>Not ML/AI</v>
      </c>
      <c r="K106" s="2"/>
      <c r="L106" s="2"/>
      <c r="M106" s="2"/>
    </row>
    <row r="107" spans="1:13" ht="84.95">
      <c r="A107" s="2" t="s">
        <v>686</v>
      </c>
      <c r="B107" s="2" t="s">
        <v>687</v>
      </c>
      <c r="C107" s="2" t="s">
        <v>202</v>
      </c>
      <c r="D107" s="2" t="s">
        <v>688</v>
      </c>
      <c r="E107" s="2" t="s">
        <v>689</v>
      </c>
      <c r="F107" s="2" t="str">
        <f>Eligibility_R1!I107</f>
        <v>Exclude</v>
      </c>
      <c r="G107" s="2" t="str">
        <f>Eligibility_R2!I107</f>
        <v>Exclude</v>
      </c>
      <c r="H107" s="2" t="str">
        <f t="shared" si="3"/>
        <v>Agree</v>
      </c>
      <c r="I107" s="2" t="str">
        <f>Eligibility_R1!J107</f>
        <v>Not PE/HDP</v>
      </c>
      <c r="J107" s="2" t="str">
        <f>Eligibility_R2!J107</f>
        <v>Not ML/AI</v>
      </c>
      <c r="K107" s="2"/>
      <c r="L107" s="2"/>
      <c r="M107" s="2"/>
    </row>
    <row r="108" spans="1:13" ht="84.95">
      <c r="A108" s="2" t="s">
        <v>693</v>
      </c>
      <c r="B108" s="2" t="s">
        <v>694</v>
      </c>
      <c r="C108" s="2" t="s">
        <v>141</v>
      </c>
      <c r="D108" s="2" t="s">
        <v>695</v>
      </c>
      <c r="E108" s="2" t="s">
        <v>696</v>
      </c>
      <c r="F108" s="2" t="str">
        <f>Eligibility_R1!I108</f>
        <v>Exclude</v>
      </c>
      <c r="G108" s="2" t="str">
        <f>Eligibility_R2!I108</f>
        <v>Exclude</v>
      </c>
      <c r="H108" s="2" t="str">
        <f t="shared" si="3"/>
        <v>Agree</v>
      </c>
      <c r="I108" s="2" t="str">
        <f>Eligibility_R1!J108</f>
        <v>Not ML/AI</v>
      </c>
      <c r="J108" s="2" t="str">
        <f>Eligibility_R2!J108</f>
        <v>Not ML/AI</v>
      </c>
      <c r="K108" s="2"/>
      <c r="L108" s="2"/>
      <c r="M108" s="2"/>
    </row>
    <row r="109" spans="1:13" ht="70.7">
      <c r="A109" s="2" t="s">
        <v>699</v>
      </c>
      <c r="B109" s="2" t="s">
        <v>700</v>
      </c>
      <c r="C109" s="2" t="s">
        <v>190</v>
      </c>
      <c r="D109" s="2" t="s">
        <v>701</v>
      </c>
      <c r="E109" s="2" t="s">
        <v>702</v>
      </c>
      <c r="F109" s="2" t="str">
        <f>Eligibility_R1!I109</f>
        <v>Exclude</v>
      </c>
      <c r="G109" s="2" t="str">
        <f>Eligibility_R2!I109</f>
        <v>Exclude</v>
      </c>
      <c r="H109" s="2" t="str">
        <f t="shared" si="3"/>
        <v>Agree</v>
      </c>
      <c r="I109" s="2" t="str">
        <f>Eligibility_R1!J109</f>
        <v>Not ML/AI</v>
      </c>
      <c r="J109" s="2" t="str">
        <f>Eligibility_R2!J109</f>
        <v>Contextual review/guideline/methodological reference</v>
      </c>
      <c r="K109" s="2"/>
      <c r="L109" s="2"/>
      <c r="M109" s="2"/>
    </row>
    <row r="110" spans="1:13" ht="84.95">
      <c r="A110" s="2" t="s">
        <v>704</v>
      </c>
      <c r="B110" s="2" t="s">
        <v>705</v>
      </c>
      <c r="C110" s="2" t="s">
        <v>190</v>
      </c>
      <c r="D110" s="2" t="s">
        <v>706</v>
      </c>
      <c r="E110" s="2" t="s">
        <v>707</v>
      </c>
      <c r="F110" s="2" t="str">
        <f>Eligibility_R1!I110</f>
        <v>Exclude</v>
      </c>
      <c r="G110" s="2" t="str">
        <f>Eligibility_R2!I110</f>
        <v>Exclude</v>
      </c>
      <c r="H110" s="2" t="str">
        <f t="shared" si="3"/>
        <v>Agree</v>
      </c>
      <c r="I110" s="2" t="str">
        <f>Eligibility_R1!J110</f>
        <v>Not PE/HDP</v>
      </c>
      <c r="J110" s="2" t="str">
        <f>Eligibility_R2!J110</f>
        <v>Not ML/AI</v>
      </c>
      <c r="K110" s="2"/>
      <c r="L110" s="2"/>
      <c r="M110" s="2"/>
    </row>
    <row r="111" spans="1:13" ht="84.95">
      <c r="A111" s="2" t="s">
        <v>710</v>
      </c>
      <c r="B111" s="2" t="s">
        <v>711</v>
      </c>
      <c r="C111" s="2" t="s">
        <v>152</v>
      </c>
      <c r="D111" s="2" t="s">
        <v>712</v>
      </c>
      <c r="E111" s="2" t="s">
        <v>713</v>
      </c>
      <c r="F111" s="2" t="str">
        <f>Eligibility_R1!I111</f>
        <v>Exclude</v>
      </c>
      <c r="G111" s="2" t="str">
        <f>Eligibility_R2!I111</f>
        <v>Exclude</v>
      </c>
      <c r="H111" s="2" t="str">
        <f t="shared" si="3"/>
        <v>Agree</v>
      </c>
      <c r="I111" s="2" t="str">
        <f>Eligibility_R1!J111</f>
        <v>Not ML/AI</v>
      </c>
      <c r="J111" s="2" t="str">
        <f>Eligibility_R2!J111</f>
        <v>Not ML/AI</v>
      </c>
      <c r="K111" s="2"/>
      <c r="L111" s="2"/>
      <c r="M111" s="2"/>
    </row>
    <row r="112" spans="1:13" ht="84.95">
      <c r="A112" s="2" t="s">
        <v>715</v>
      </c>
      <c r="B112" s="2" t="s">
        <v>716</v>
      </c>
      <c r="C112" s="2" t="s">
        <v>141</v>
      </c>
      <c r="D112" s="2" t="s">
        <v>717</v>
      </c>
      <c r="E112" s="2" t="s">
        <v>718</v>
      </c>
      <c r="F112" s="2" t="str">
        <f>Eligibility_R1!I112</f>
        <v>Exclude</v>
      </c>
      <c r="G112" s="2" t="str">
        <f>Eligibility_R2!I112</f>
        <v>Exclude</v>
      </c>
      <c r="H112" s="2" t="str">
        <f t="shared" si="3"/>
        <v>Agree</v>
      </c>
      <c r="I112" s="2" t="str">
        <f>Eligibility_R1!J112</f>
        <v>Contextual review/guideline/methodological reference</v>
      </c>
      <c r="J112" s="2" t="str">
        <f>Eligibility_R2!J112</f>
        <v>Not PE/HDP</v>
      </c>
      <c r="K112" s="2"/>
      <c r="L112" s="2"/>
      <c r="M112" s="2"/>
    </row>
    <row r="113" spans="1:13" ht="84.95">
      <c r="A113" s="2" t="s">
        <v>720</v>
      </c>
      <c r="B113" s="2" t="s">
        <v>721</v>
      </c>
      <c r="C113" s="2" t="s">
        <v>128</v>
      </c>
      <c r="D113" s="2" t="s">
        <v>722</v>
      </c>
      <c r="E113" s="2" t="s">
        <v>723</v>
      </c>
      <c r="F113" s="2" t="str">
        <f>Eligibility_R1!I113</f>
        <v>Exclude</v>
      </c>
      <c r="G113" s="2" t="str">
        <f>Eligibility_R2!I113</f>
        <v>Exclude</v>
      </c>
      <c r="H113" s="2" t="str">
        <f t="shared" si="3"/>
        <v>Agree</v>
      </c>
      <c r="I113" s="2" t="str">
        <f>Eligibility_R1!J113</f>
        <v>Contextual review/guideline/methodological reference</v>
      </c>
      <c r="J113" s="2" t="str">
        <f>Eligibility_R2!J113</f>
        <v>Contextual review/guideline/methodological reference</v>
      </c>
      <c r="K113" s="2"/>
      <c r="L113" s="2"/>
      <c r="M113" s="2"/>
    </row>
    <row r="114" spans="1:13" ht="70.7">
      <c r="A114" s="2" t="s">
        <v>725</v>
      </c>
      <c r="B114" s="2" t="s">
        <v>726</v>
      </c>
      <c r="C114" s="2" t="s">
        <v>202</v>
      </c>
      <c r="D114" s="2" t="s">
        <v>727</v>
      </c>
      <c r="E114" s="2" t="s">
        <v>728</v>
      </c>
      <c r="F114" s="2" t="str">
        <f>Eligibility_R1!I114</f>
        <v>Exclude</v>
      </c>
      <c r="G114" s="2" t="str">
        <f>Eligibility_R2!I114</f>
        <v>Exclude</v>
      </c>
      <c r="H114" s="2" t="str">
        <f t="shared" si="3"/>
        <v>Agree</v>
      </c>
      <c r="I114" s="2" t="str">
        <f>Eligibility_R1!J114</f>
        <v>Not ML/AI</v>
      </c>
      <c r="J114" s="2" t="str">
        <f>Eligibility_R2!J114</f>
        <v>Not ML/AI</v>
      </c>
      <c r="K114" s="2"/>
      <c r="L114" s="2"/>
      <c r="M114" s="2"/>
    </row>
    <row r="115" spans="1:13" ht="70.7">
      <c r="A115" s="2" t="s">
        <v>730</v>
      </c>
      <c r="B115" s="2" t="s">
        <v>731</v>
      </c>
      <c r="C115" s="2" t="s">
        <v>202</v>
      </c>
      <c r="D115" s="2" t="s">
        <v>732</v>
      </c>
      <c r="E115" s="2" t="s">
        <v>733</v>
      </c>
      <c r="F115" s="2" t="str">
        <f>Eligibility_R1!I115</f>
        <v>Include</v>
      </c>
      <c r="G115" s="2" t="str">
        <f>Eligibility_R2!I115</f>
        <v>Include</v>
      </c>
      <c r="H115" s="2" t="str">
        <f t="shared" si="3"/>
        <v>Agree</v>
      </c>
      <c r="I115" s="2">
        <f>Eligibility_R1!J115</f>
        <v>0</v>
      </c>
      <c r="J115" s="2">
        <f>Eligibility_R2!J115</f>
        <v>0</v>
      </c>
      <c r="K115" s="2"/>
      <c r="L115" s="2"/>
      <c r="M115" s="2"/>
    </row>
    <row r="116" spans="1:13" ht="70.7">
      <c r="A116" s="2" t="s">
        <v>735</v>
      </c>
      <c r="B116" s="2" t="s">
        <v>736</v>
      </c>
      <c r="C116" s="2" t="s">
        <v>202</v>
      </c>
      <c r="D116" s="2" t="s">
        <v>737</v>
      </c>
      <c r="E116" s="2" t="s">
        <v>738</v>
      </c>
      <c r="F116" s="2" t="str">
        <f>Eligibility_R1!I116</f>
        <v>Exclude</v>
      </c>
      <c r="G116" s="2" t="str">
        <f>Eligibility_R2!I116</f>
        <v>Exclude</v>
      </c>
      <c r="H116" s="2" t="str">
        <f t="shared" si="3"/>
        <v>Agree</v>
      </c>
      <c r="I116" s="2" t="str">
        <f>Eligibility_R1!J116</f>
        <v>Not PE/HDP</v>
      </c>
      <c r="J116" s="2" t="str">
        <f>Eligibility_R2!J116</f>
        <v>Not ML/AI</v>
      </c>
      <c r="K116" s="2"/>
      <c r="L116" s="2"/>
      <c r="M116" s="2"/>
    </row>
    <row r="117" spans="1:13" ht="70.7">
      <c r="A117" s="2" t="s">
        <v>740</v>
      </c>
      <c r="B117" s="2" t="s">
        <v>741</v>
      </c>
      <c r="C117" s="2" t="s">
        <v>233</v>
      </c>
      <c r="D117" s="2" t="s">
        <v>742</v>
      </c>
      <c r="E117" s="2" t="s">
        <v>743</v>
      </c>
      <c r="F117" s="2" t="str">
        <f>Eligibility_R1!I117</f>
        <v>Include</v>
      </c>
      <c r="G117" s="2" t="str">
        <f>Eligibility_R2!I117</f>
        <v>Include</v>
      </c>
      <c r="H117" s="2" t="str">
        <f t="shared" si="3"/>
        <v>Agree</v>
      </c>
      <c r="I117" s="2">
        <f>Eligibility_R1!J117</f>
        <v>0</v>
      </c>
      <c r="J117" s="2">
        <f>Eligibility_R2!J117</f>
        <v>0</v>
      </c>
      <c r="K117" s="2"/>
      <c r="L117" s="2"/>
      <c r="M117" s="2"/>
    </row>
    <row r="118" spans="1:13" ht="70.7">
      <c r="A118" s="2" t="s">
        <v>745</v>
      </c>
      <c r="B118" s="2" t="s">
        <v>746</v>
      </c>
      <c r="C118" s="2" t="s">
        <v>190</v>
      </c>
      <c r="D118" s="2" t="s">
        <v>747</v>
      </c>
      <c r="E118" s="2" t="s">
        <v>748</v>
      </c>
      <c r="F118" s="2" t="str">
        <f>Eligibility_R1!I118</f>
        <v>Exclude</v>
      </c>
      <c r="G118" s="2" t="str">
        <f>Eligibility_R2!I118</f>
        <v>Include</v>
      </c>
      <c r="H118" s="2" t="str">
        <f t="shared" si="3"/>
        <v>Conflict</v>
      </c>
      <c r="I118" s="2" t="str">
        <f>Eligibility_R1!J118</f>
        <v>Not PE/HDP</v>
      </c>
      <c r="J118" s="2">
        <f>Eligibility_R2!J118</f>
        <v>0</v>
      </c>
      <c r="K118" s="2"/>
      <c r="L118" s="2"/>
      <c r="M118" s="2"/>
    </row>
    <row r="119" spans="1:13" ht="84.95">
      <c r="A119" s="2" t="s">
        <v>750</v>
      </c>
      <c r="B119" s="2" t="s">
        <v>751</v>
      </c>
      <c r="C119" s="2" t="s">
        <v>157</v>
      </c>
      <c r="D119" s="2" t="s">
        <v>753</v>
      </c>
      <c r="E119" s="2" t="s">
        <v>754</v>
      </c>
      <c r="F119" s="2" t="str">
        <f>Eligibility_R1!I119</f>
        <v>Exclude</v>
      </c>
      <c r="G119" s="2" t="str">
        <f>Eligibility_R2!I119</f>
        <v>Exclude</v>
      </c>
      <c r="H119" s="2" t="str">
        <f t="shared" si="3"/>
        <v>Agree</v>
      </c>
      <c r="I119" s="2" t="str">
        <f>Eligibility_R1!J119</f>
        <v>Not PE/HDP</v>
      </c>
      <c r="J119" s="2" t="str">
        <f>Eligibility_R2!J119</f>
        <v>Not PE/HDP</v>
      </c>
      <c r="K119" s="2"/>
      <c r="L119" s="2"/>
      <c r="M119" s="2"/>
    </row>
    <row r="120" spans="1:13" ht="70.7">
      <c r="A120" s="2" t="s">
        <v>756</v>
      </c>
      <c r="B120" s="2" t="s">
        <v>757</v>
      </c>
      <c r="C120" s="2" t="s">
        <v>167</v>
      </c>
      <c r="D120" s="2" t="s">
        <v>758</v>
      </c>
      <c r="E120" s="2" t="s">
        <v>759</v>
      </c>
      <c r="F120" s="2" t="str">
        <f>Eligibility_R1!I120</f>
        <v>Include</v>
      </c>
      <c r="G120" s="2" t="str">
        <f>Eligibility_R2!I120</f>
        <v>Include</v>
      </c>
      <c r="H120" s="2" t="str">
        <f t="shared" si="3"/>
        <v>Agree</v>
      </c>
      <c r="I120" s="2">
        <f>Eligibility_R1!J120</f>
        <v>0</v>
      </c>
      <c r="J120" s="2">
        <f>Eligibility_R2!J120</f>
        <v>0</v>
      </c>
      <c r="K120" s="2"/>
      <c r="L120" s="2"/>
      <c r="M120" s="2"/>
    </row>
    <row r="121" spans="1:13" ht="84.95">
      <c r="A121" s="2" t="s">
        <v>761</v>
      </c>
      <c r="B121" s="2" t="s">
        <v>762</v>
      </c>
      <c r="C121" s="2" t="s">
        <v>152</v>
      </c>
      <c r="D121" s="2" t="s">
        <v>763</v>
      </c>
      <c r="E121" s="2" t="s">
        <v>764</v>
      </c>
      <c r="F121" s="2" t="str">
        <f>Eligibility_R1!I121</f>
        <v>Exclude</v>
      </c>
      <c r="G121" s="2" t="str">
        <f>Eligibility_R2!I121</f>
        <v>Exclude</v>
      </c>
      <c r="H121" s="2" t="str">
        <f t="shared" si="3"/>
        <v>Agree</v>
      </c>
      <c r="I121" s="2" t="str">
        <f>Eligibility_R1!J121</f>
        <v>Not PE/HDP</v>
      </c>
      <c r="J121" s="2" t="str">
        <f>Eligibility_R2!J121</f>
        <v>Not PE/HDP</v>
      </c>
      <c r="K121" s="2"/>
      <c r="L121" s="2"/>
      <c r="M121" s="2"/>
    </row>
    <row r="122" spans="1:13" ht="70.7">
      <c r="A122" s="2" t="s">
        <v>766</v>
      </c>
      <c r="B122" s="2" t="s">
        <v>767</v>
      </c>
      <c r="C122" s="2" t="s">
        <v>233</v>
      </c>
      <c r="D122" s="2" t="s">
        <v>768</v>
      </c>
      <c r="E122" s="2" t="s">
        <v>769</v>
      </c>
      <c r="F122" s="2" t="str">
        <f>Eligibility_R1!I122</f>
        <v>Exclude</v>
      </c>
      <c r="G122" s="2" t="str">
        <f>Eligibility_R2!I122</f>
        <v>Exclude</v>
      </c>
      <c r="H122" s="2" t="str">
        <f t="shared" si="3"/>
        <v>Agree</v>
      </c>
      <c r="I122" s="2" t="str">
        <f>Eligibility_R1!J122</f>
        <v>Not PE/HDP</v>
      </c>
      <c r="J122" s="2" t="str">
        <f>Eligibility_R2!J122</f>
        <v>Not PE/HDP</v>
      </c>
      <c r="K122" s="2"/>
      <c r="L122" s="2"/>
      <c r="M122" s="2"/>
    </row>
    <row r="123" spans="1:13" ht="70.7">
      <c r="A123" s="2" t="s">
        <v>773</v>
      </c>
      <c r="B123" s="2" t="s">
        <v>774</v>
      </c>
      <c r="C123" s="2" t="s">
        <v>167</v>
      </c>
      <c r="D123" s="2" t="s">
        <v>775</v>
      </c>
      <c r="E123" s="2" t="s">
        <v>776</v>
      </c>
      <c r="F123" s="2" t="str">
        <f>Eligibility_R1!I123</f>
        <v>Exclude</v>
      </c>
      <c r="G123" s="2" t="str">
        <f>Eligibility_R2!I123</f>
        <v>Exclude</v>
      </c>
      <c r="H123" s="2" t="str">
        <f t="shared" si="3"/>
        <v>Agree</v>
      </c>
      <c r="I123" s="2" t="str">
        <f>Eligibility_R1!J123</f>
        <v>Not PE/HDP</v>
      </c>
      <c r="J123" s="2" t="str">
        <f>Eligibility_R2!J123</f>
        <v>Not ML/AI</v>
      </c>
      <c r="K123" s="2"/>
      <c r="L123" s="2"/>
      <c r="M123" s="2"/>
    </row>
    <row r="124" spans="1:13" ht="84.95">
      <c r="A124" s="2" t="s">
        <v>778</v>
      </c>
      <c r="B124" s="2" t="s">
        <v>779</v>
      </c>
      <c r="C124" s="2" t="s">
        <v>135</v>
      </c>
      <c r="D124" s="2" t="s">
        <v>780</v>
      </c>
      <c r="E124" s="2" t="s">
        <v>781</v>
      </c>
      <c r="F124" s="2" t="str">
        <f>Eligibility_R1!I124</f>
        <v>Exclude</v>
      </c>
      <c r="G124" s="2" t="str">
        <f>Eligibility_R2!I124</f>
        <v>Exclude</v>
      </c>
      <c r="H124" s="2" t="str">
        <f t="shared" si="3"/>
        <v>Agree</v>
      </c>
      <c r="I124" s="2" t="str">
        <f>Eligibility_R1!J124</f>
        <v>Contextual review/guideline/methodological reference</v>
      </c>
      <c r="J124" s="2" t="str">
        <f>Eligibility_R2!J124</f>
        <v>Not ML/AI</v>
      </c>
      <c r="K124" s="2"/>
      <c r="L124" s="2"/>
      <c r="M124" s="2"/>
    </row>
    <row r="125" spans="1:13" ht="70.7">
      <c r="A125" s="2" t="s">
        <v>783</v>
      </c>
      <c r="B125" s="2" t="s">
        <v>784</v>
      </c>
      <c r="C125" s="2" t="s">
        <v>152</v>
      </c>
      <c r="D125" s="2" t="s">
        <v>785</v>
      </c>
      <c r="E125" s="2" t="s">
        <v>786</v>
      </c>
      <c r="F125" s="2" t="str">
        <f>Eligibility_R1!I125</f>
        <v>Include</v>
      </c>
      <c r="G125" s="2" t="str">
        <f>Eligibility_R2!I125</f>
        <v>Include</v>
      </c>
      <c r="H125" s="2" t="str">
        <f t="shared" si="3"/>
        <v>Agree</v>
      </c>
      <c r="I125" s="2">
        <f>Eligibility_R1!J125</f>
        <v>0</v>
      </c>
      <c r="J125" s="2">
        <f>Eligibility_R2!J125</f>
        <v>0</v>
      </c>
      <c r="K125" s="2"/>
      <c r="L125" s="2"/>
      <c r="M125" s="2"/>
    </row>
    <row r="126" spans="1:13" ht="84.95">
      <c r="A126" s="2" t="s">
        <v>788</v>
      </c>
      <c r="B126" s="2" t="s">
        <v>789</v>
      </c>
      <c r="C126" s="2" t="s">
        <v>233</v>
      </c>
      <c r="D126" s="2" t="s">
        <v>790</v>
      </c>
      <c r="E126" s="2" t="s">
        <v>791</v>
      </c>
      <c r="F126" s="2" t="str">
        <f>Eligibility_R1!I126</f>
        <v>Exclude</v>
      </c>
      <c r="G126" s="2" t="str">
        <f>Eligibility_R2!I126</f>
        <v>Exclude</v>
      </c>
      <c r="H126" s="2" t="str">
        <f t="shared" si="3"/>
        <v>Agree</v>
      </c>
      <c r="I126" s="2" t="str">
        <f>Eligibility_R1!J126</f>
        <v>Not PE/HDP</v>
      </c>
      <c r="J126" s="2" t="str">
        <f>Eligibility_R2!J126</f>
        <v>Not PE/HDP</v>
      </c>
      <c r="K126" s="2"/>
      <c r="L126" s="2"/>
      <c r="M126" s="2"/>
    </row>
    <row r="127" spans="1:13" ht="70.7">
      <c r="A127" s="2" t="s">
        <v>793</v>
      </c>
      <c r="B127" s="2" t="s">
        <v>794</v>
      </c>
      <c r="C127" s="2" t="s">
        <v>202</v>
      </c>
      <c r="D127" s="2" t="s">
        <v>795</v>
      </c>
      <c r="E127" s="2" t="s">
        <v>796</v>
      </c>
      <c r="F127" s="2" t="str">
        <f>Eligibility_R1!I127</f>
        <v>Exclude</v>
      </c>
      <c r="G127" s="2" t="str">
        <f>Eligibility_R2!I127</f>
        <v>Exclude</v>
      </c>
      <c r="H127" s="2" t="str">
        <f t="shared" si="3"/>
        <v>Agree</v>
      </c>
      <c r="I127" s="2" t="str">
        <f>Eligibility_R1!J127</f>
        <v>Not ML/AI</v>
      </c>
      <c r="J127" s="2" t="str">
        <f>Eligibility_R2!J127</f>
        <v>Not ML/AI</v>
      </c>
      <c r="K127" s="2"/>
      <c r="L127" s="2"/>
      <c r="M127" s="2"/>
    </row>
    <row r="128" spans="1:13" ht="70.7">
      <c r="A128" s="2" t="s">
        <v>798</v>
      </c>
      <c r="B128" s="2" t="s">
        <v>799</v>
      </c>
      <c r="C128" s="2" t="s">
        <v>190</v>
      </c>
      <c r="D128" s="2" t="s">
        <v>800</v>
      </c>
      <c r="E128" s="2" t="s">
        <v>801</v>
      </c>
      <c r="F128" s="2" t="str">
        <f>Eligibility_R1!I128</f>
        <v>Exclude</v>
      </c>
      <c r="G128" s="2" t="str">
        <f>Eligibility_R2!I128</f>
        <v>Exclude</v>
      </c>
      <c r="H128" s="2" t="str">
        <f t="shared" si="3"/>
        <v>Agree</v>
      </c>
      <c r="I128" s="2" t="str">
        <f>Eligibility_R1!J128</f>
        <v>Not ML/AI</v>
      </c>
      <c r="J128" s="2" t="str">
        <f>Eligibility_R2!J128</f>
        <v>Not ML/AI</v>
      </c>
      <c r="K128" s="2"/>
      <c r="L128" s="2"/>
      <c r="M128" s="2"/>
    </row>
    <row r="129" spans="1:13" ht="70.7">
      <c r="A129" s="2" t="s">
        <v>804</v>
      </c>
      <c r="B129" s="2" t="s">
        <v>805</v>
      </c>
      <c r="C129" s="2" t="s">
        <v>190</v>
      </c>
      <c r="D129" s="2" t="s">
        <v>806</v>
      </c>
      <c r="E129" s="2" t="s">
        <v>807</v>
      </c>
      <c r="F129" s="2" t="str">
        <f>Eligibility_R1!I129</f>
        <v>Exclude</v>
      </c>
      <c r="G129" s="2" t="str">
        <f>Eligibility_R2!I129</f>
        <v>Exclude</v>
      </c>
      <c r="H129" s="2" t="str">
        <f t="shared" si="3"/>
        <v>Agree</v>
      </c>
      <c r="I129" s="2" t="str">
        <f>Eligibility_R1!J129</f>
        <v>Not PE/HDP</v>
      </c>
      <c r="J129" s="2" t="str">
        <f>Eligibility_R2!J129</f>
        <v>Not PE/HDP</v>
      </c>
      <c r="K129" s="2"/>
      <c r="L129" s="2"/>
      <c r="M129" s="2"/>
    </row>
    <row r="130" spans="1:13" ht="84.95">
      <c r="A130" s="2" t="s">
        <v>809</v>
      </c>
      <c r="B130" s="2" t="s">
        <v>810</v>
      </c>
      <c r="C130" s="2" t="s">
        <v>202</v>
      </c>
      <c r="D130" s="2" t="s">
        <v>811</v>
      </c>
      <c r="E130" s="2" t="s">
        <v>812</v>
      </c>
      <c r="F130" s="2" t="str">
        <f>Eligibility_R1!I130</f>
        <v>Exclude</v>
      </c>
      <c r="G130" s="2" t="str">
        <f>Eligibility_R2!I130</f>
        <v>Exclude</v>
      </c>
      <c r="H130" s="2" t="str">
        <f t="shared" ref="H130:H161" si="4">IF(OR(F130="",G130=""),"Pending",IF(F130=G130,"Agree","Conflict"))</f>
        <v>Agree</v>
      </c>
      <c r="I130" s="2" t="str">
        <f>Eligibility_R1!J130</f>
        <v>Not PE/HDP</v>
      </c>
      <c r="J130" s="2" t="str">
        <f>Eligibility_R2!J130</f>
        <v>Not PE/HDP</v>
      </c>
      <c r="K130" s="2"/>
      <c r="L130" s="2"/>
      <c r="M130" s="2"/>
    </row>
    <row r="131" spans="1:13" ht="84.95">
      <c r="A131" s="2" t="s">
        <v>815</v>
      </c>
      <c r="B131" s="2" t="s">
        <v>816</v>
      </c>
      <c r="C131" s="2" t="s">
        <v>233</v>
      </c>
      <c r="D131" s="2" t="s">
        <v>817</v>
      </c>
      <c r="E131" s="2" t="s">
        <v>818</v>
      </c>
      <c r="F131" s="2" t="str">
        <f>Eligibility_R1!I131</f>
        <v>Exclude</v>
      </c>
      <c r="G131" s="2" t="str">
        <f>Eligibility_R2!I131</f>
        <v>Exclude</v>
      </c>
      <c r="H131" s="2" t="str">
        <f t="shared" si="4"/>
        <v>Agree</v>
      </c>
      <c r="I131" s="2" t="str">
        <f>Eligibility_R1!J131</f>
        <v>Not PE/HDP</v>
      </c>
      <c r="J131" s="2" t="str">
        <f>Eligibility_R2!J131</f>
        <v>Not PE/HDP</v>
      </c>
      <c r="K131" s="2"/>
      <c r="L131" s="2"/>
      <c r="M131" s="2"/>
    </row>
    <row r="132" spans="1:13" ht="70.7">
      <c r="A132" s="2" t="s">
        <v>820</v>
      </c>
      <c r="B132" s="2" t="s">
        <v>821</v>
      </c>
      <c r="C132" s="2" t="s">
        <v>190</v>
      </c>
      <c r="D132" s="2" t="s">
        <v>822</v>
      </c>
      <c r="E132" s="2" t="s">
        <v>823</v>
      </c>
      <c r="F132" s="2" t="str">
        <f>Eligibility_R1!I132</f>
        <v>Exclude</v>
      </c>
      <c r="G132" s="2" t="str">
        <f>Eligibility_R2!I132</f>
        <v>Exclude</v>
      </c>
      <c r="H132" s="2" t="str">
        <f t="shared" si="4"/>
        <v>Agree</v>
      </c>
      <c r="I132" s="2" t="str">
        <f>Eligibility_R1!J132</f>
        <v>Abstract book/poster compilation</v>
      </c>
      <c r="J132" s="2" t="str">
        <f>Eligibility_R2!J132</f>
        <v>Abstract book/poster compilation</v>
      </c>
      <c r="K132" s="2"/>
      <c r="L132" s="2"/>
      <c r="M132" s="2"/>
    </row>
    <row r="133" spans="1:13" ht="84.95">
      <c r="A133" s="2" t="s">
        <v>825</v>
      </c>
      <c r="B133" s="2" t="s">
        <v>826</v>
      </c>
      <c r="C133" s="2" t="s">
        <v>233</v>
      </c>
      <c r="D133" s="2" t="s">
        <v>827</v>
      </c>
      <c r="E133" s="2" t="s">
        <v>828</v>
      </c>
      <c r="F133" s="2" t="str">
        <f>Eligibility_R1!I133</f>
        <v>Include</v>
      </c>
      <c r="G133" s="2" t="str">
        <f>Eligibility_R2!I133</f>
        <v>Include</v>
      </c>
      <c r="H133" s="2" t="str">
        <f t="shared" si="4"/>
        <v>Agree</v>
      </c>
      <c r="I133" s="2">
        <f>Eligibility_R1!J133</f>
        <v>0</v>
      </c>
      <c r="J133" s="2">
        <f>Eligibility_R2!J133</f>
        <v>0</v>
      </c>
      <c r="K133" s="2"/>
      <c r="L133" s="2"/>
      <c r="M133" s="2"/>
    </row>
    <row r="134" spans="1:13" ht="70.7">
      <c r="A134" s="2" t="s">
        <v>830</v>
      </c>
      <c r="B134" s="2" t="s">
        <v>831</v>
      </c>
      <c r="C134" s="2" t="s">
        <v>202</v>
      </c>
      <c r="D134" s="2" t="s">
        <v>832</v>
      </c>
      <c r="E134" s="2" t="s">
        <v>833</v>
      </c>
      <c r="F134" s="2" t="str">
        <f>Eligibility_R1!I134</f>
        <v>Include</v>
      </c>
      <c r="G134" s="2" t="str">
        <f>Eligibility_R2!I134</f>
        <v>Include</v>
      </c>
      <c r="H134" s="2" t="str">
        <f t="shared" si="4"/>
        <v>Agree</v>
      </c>
      <c r="I134" s="2">
        <f>Eligibility_R1!J134</f>
        <v>0</v>
      </c>
      <c r="J134" s="2">
        <f>Eligibility_R2!J134</f>
        <v>0</v>
      </c>
      <c r="K134" s="2"/>
      <c r="L134" s="2"/>
      <c r="M134" s="2"/>
    </row>
    <row r="135" spans="1:13" ht="70.7">
      <c r="A135" s="2" t="s">
        <v>835</v>
      </c>
      <c r="B135" s="2" t="s">
        <v>836</v>
      </c>
      <c r="C135" s="2" t="s">
        <v>157</v>
      </c>
      <c r="D135" s="2" t="s">
        <v>837</v>
      </c>
      <c r="E135" s="2" t="s">
        <v>838</v>
      </c>
      <c r="F135" s="2" t="str">
        <f>Eligibility_R1!I135</f>
        <v>Exclude</v>
      </c>
      <c r="G135" s="2" t="str">
        <f>Eligibility_R2!I135</f>
        <v>Exclude</v>
      </c>
      <c r="H135" s="2" t="str">
        <f t="shared" si="4"/>
        <v>Agree</v>
      </c>
      <c r="I135" s="2" t="str">
        <f>Eligibility_R1!J135</f>
        <v>Not PE/HDP</v>
      </c>
      <c r="J135" s="2" t="str">
        <f>Eligibility_R2!J135</f>
        <v>Not PE/HDP</v>
      </c>
      <c r="K135" s="2"/>
      <c r="L135" s="2"/>
      <c r="M135" s="2"/>
    </row>
    <row r="136" spans="1:13" ht="70.7">
      <c r="A136" s="2" t="s">
        <v>840</v>
      </c>
      <c r="B136" s="2" t="s">
        <v>841</v>
      </c>
      <c r="C136" s="2" t="s">
        <v>202</v>
      </c>
      <c r="D136" s="2" t="s">
        <v>842</v>
      </c>
      <c r="E136" s="2" t="s">
        <v>843</v>
      </c>
      <c r="F136" s="2" t="str">
        <f>Eligibility_R1!I136</f>
        <v>Include</v>
      </c>
      <c r="G136" s="2" t="str">
        <f>Eligibility_R2!I136</f>
        <v>Include</v>
      </c>
      <c r="H136" s="2" t="str">
        <f t="shared" si="4"/>
        <v>Agree</v>
      </c>
      <c r="I136" s="2">
        <f>Eligibility_R1!J136</f>
        <v>0</v>
      </c>
      <c r="J136" s="2">
        <f>Eligibility_R2!J136</f>
        <v>0</v>
      </c>
      <c r="K136" s="2"/>
      <c r="L136" s="2"/>
      <c r="M136" s="2"/>
    </row>
    <row r="137" spans="1:13" ht="70.7">
      <c r="A137" s="2" t="s">
        <v>845</v>
      </c>
      <c r="B137" s="2" t="s">
        <v>846</v>
      </c>
      <c r="C137" s="2" t="s">
        <v>202</v>
      </c>
      <c r="D137" s="2" t="s">
        <v>847</v>
      </c>
      <c r="E137" s="2" t="s">
        <v>848</v>
      </c>
      <c r="F137" s="2" t="str">
        <f>Eligibility_R1!I137</f>
        <v>Exclude</v>
      </c>
      <c r="G137" s="2" t="str">
        <f>Eligibility_R2!I137</f>
        <v>Exclude</v>
      </c>
      <c r="H137" s="2" t="str">
        <f t="shared" si="4"/>
        <v>Agree</v>
      </c>
      <c r="I137" s="2" t="str">
        <f>Eligibility_R1!J137</f>
        <v>Not PE/HDP</v>
      </c>
      <c r="J137" s="2" t="str">
        <f>Eligibility_R2!J137</f>
        <v>Not PE/HDP</v>
      </c>
      <c r="K137" s="2"/>
      <c r="L137" s="2"/>
      <c r="M137" s="2"/>
    </row>
    <row r="138" spans="1:13" ht="84.95">
      <c r="A138" s="2" t="s">
        <v>850</v>
      </c>
      <c r="B138" s="2" t="s">
        <v>851</v>
      </c>
      <c r="C138" s="2" t="s">
        <v>190</v>
      </c>
      <c r="D138" s="2" t="s">
        <v>852</v>
      </c>
      <c r="E138" s="2" t="s">
        <v>853</v>
      </c>
      <c r="F138" s="2" t="str">
        <f>Eligibility_R1!I138</f>
        <v>Exclude</v>
      </c>
      <c r="G138" s="2" t="str">
        <f>Eligibility_R2!I138</f>
        <v>Include</v>
      </c>
      <c r="H138" s="2" t="str">
        <f t="shared" si="4"/>
        <v>Conflict</v>
      </c>
      <c r="I138" s="2" t="str">
        <f>Eligibility_R1!J138</f>
        <v>Not PE/HDP</v>
      </c>
      <c r="J138" s="2">
        <f>Eligibility_R2!J138</f>
        <v>0</v>
      </c>
      <c r="K138" s="2"/>
      <c r="L138" s="2"/>
      <c r="M138" s="2"/>
    </row>
    <row r="139" spans="1:13" ht="84.95">
      <c r="A139" s="2" t="s">
        <v>856</v>
      </c>
      <c r="B139" s="2" t="s">
        <v>857</v>
      </c>
      <c r="C139" s="2" t="s">
        <v>202</v>
      </c>
      <c r="D139" s="2" t="s">
        <v>858</v>
      </c>
      <c r="E139" s="2" t="s">
        <v>859</v>
      </c>
      <c r="F139" s="2" t="str">
        <f>Eligibility_R1!I139</f>
        <v>Exclude</v>
      </c>
      <c r="G139" s="2" t="str">
        <f>Eligibility_R2!I139</f>
        <v>Exclude</v>
      </c>
      <c r="H139" s="2" t="str">
        <f t="shared" si="4"/>
        <v>Agree</v>
      </c>
      <c r="I139" s="2" t="str">
        <f>Eligibility_R1!J139</f>
        <v>Not PE/HDP</v>
      </c>
      <c r="J139" s="2" t="str">
        <f>Eligibility_R2!J139</f>
        <v>Not PE/HDP</v>
      </c>
      <c r="K139" s="2"/>
      <c r="L139" s="2"/>
      <c r="M139" s="2"/>
    </row>
    <row r="140" spans="1:13" ht="70.7">
      <c r="A140" s="2" t="s">
        <v>861</v>
      </c>
      <c r="B140" s="2" t="s">
        <v>862</v>
      </c>
      <c r="C140" s="2" t="s">
        <v>157</v>
      </c>
      <c r="D140" s="2" t="s">
        <v>863</v>
      </c>
      <c r="E140" s="2" t="s">
        <v>864</v>
      </c>
      <c r="F140" s="2" t="str">
        <f>Eligibility_R1!I140</f>
        <v>Include</v>
      </c>
      <c r="G140" s="2" t="str">
        <f>Eligibility_R2!I140</f>
        <v>Include</v>
      </c>
      <c r="H140" s="2" t="str">
        <f t="shared" si="4"/>
        <v>Agree</v>
      </c>
      <c r="I140" s="2">
        <f>Eligibility_R1!J140</f>
        <v>0</v>
      </c>
      <c r="J140" s="2">
        <f>Eligibility_R2!J140</f>
        <v>0</v>
      </c>
      <c r="K140" s="2"/>
      <c r="L140" s="2"/>
      <c r="M140" s="2"/>
    </row>
    <row r="141" spans="1:13" ht="70.7">
      <c r="A141" s="2" t="s">
        <v>866</v>
      </c>
      <c r="B141" s="2" t="s">
        <v>867</v>
      </c>
      <c r="C141" s="2" t="s">
        <v>141</v>
      </c>
      <c r="D141" s="2" t="s">
        <v>868</v>
      </c>
      <c r="E141" s="2" t="s">
        <v>869</v>
      </c>
      <c r="F141" s="2" t="str">
        <f>Eligibility_R1!I141</f>
        <v>Exclude</v>
      </c>
      <c r="G141" s="2" t="str">
        <f>Eligibility_R2!I141</f>
        <v>Exclude</v>
      </c>
      <c r="H141" s="2" t="str">
        <f t="shared" si="4"/>
        <v>Agree</v>
      </c>
      <c r="I141" s="2" t="str">
        <f>Eligibility_R1!J141</f>
        <v>Not ML/AI</v>
      </c>
      <c r="J141" s="2" t="str">
        <f>Eligibility_R2!J141</f>
        <v>Not ML/AI</v>
      </c>
      <c r="K141" s="2"/>
      <c r="L141" s="2"/>
      <c r="M141" s="2"/>
    </row>
    <row r="142" spans="1:13" ht="70.7">
      <c r="A142" s="2" t="s">
        <v>871</v>
      </c>
      <c r="B142" s="2" t="s">
        <v>872</v>
      </c>
      <c r="C142" s="2" t="s">
        <v>233</v>
      </c>
      <c r="D142" s="2" t="s">
        <v>873</v>
      </c>
      <c r="E142" s="2" t="s">
        <v>874</v>
      </c>
      <c r="F142" s="2" t="str">
        <f>Eligibility_R1!I142</f>
        <v>Exclude</v>
      </c>
      <c r="G142" s="2" t="str">
        <f>Eligibility_R2!I142</f>
        <v>Include</v>
      </c>
      <c r="H142" s="2" t="str">
        <f t="shared" si="4"/>
        <v>Conflict</v>
      </c>
      <c r="I142" s="2" t="str">
        <f>Eligibility_R1!J142</f>
        <v>Other</v>
      </c>
      <c r="J142" s="2">
        <f>Eligibility_R2!J142</f>
        <v>0</v>
      </c>
      <c r="K142" s="2"/>
      <c r="L142" s="2"/>
      <c r="M142" s="2"/>
    </row>
    <row r="143" spans="1:13" ht="84.95">
      <c r="A143" s="2" t="s">
        <v>877</v>
      </c>
      <c r="B143" s="2" t="s">
        <v>878</v>
      </c>
      <c r="C143" s="2" t="s">
        <v>233</v>
      </c>
      <c r="D143" s="2" t="s">
        <v>879</v>
      </c>
      <c r="E143" s="2" t="s">
        <v>880</v>
      </c>
      <c r="F143" s="2" t="str">
        <f>Eligibility_R1!I143</f>
        <v>Include</v>
      </c>
      <c r="G143" s="2" t="str">
        <f>Eligibility_R2!I143</f>
        <v>Include</v>
      </c>
      <c r="H143" s="2" t="str">
        <f t="shared" si="4"/>
        <v>Agree</v>
      </c>
      <c r="I143" s="2">
        <f>Eligibility_R1!J143</f>
        <v>0</v>
      </c>
      <c r="J143" s="2">
        <f>Eligibility_R2!J143</f>
        <v>0</v>
      </c>
      <c r="K143" s="2"/>
      <c r="L143" s="2"/>
      <c r="M143" s="2"/>
    </row>
    <row r="144" spans="1:13" ht="70.7">
      <c r="A144" s="2" t="s">
        <v>883</v>
      </c>
      <c r="B144" s="2" t="s">
        <v>884</v>
      </c>
      <c r="C144" s="2" t="s">
        <v>202</v>
      </c>
      <c r="D144" s="2" t="s">
        <v>885</v>
      </c>
      <c r="E144" s="2" t="s">
        <v>886</v>
      </c>
      <c r="F144" s="2" t="str">
        <f>Eligibility_R1!I144</f>
        <v>Exclude</v>
      </c>
      <c r="G144" s="2" t="str">
        <f>Eligibility_R2!I144</f>
        <v>Exclude</v>
      </c>
      <c r="H144" s="2" t="str">
        <f t="shared" si="4"/>
        <v>Agree</v>
      </c>
      <c r="I144" s="2" t="str">
        <f>Eligibility_R1!J144</f>
        <v>Contextual review/guideline/methodological reference</v>
      </c>
      <c r="J144" s="2" t="str">
        <f>Eligibility_R2!J144</f>
        <v>Not ML/AI</v>
      </c>
      <c r="K144" s="2"/>
      <c r="L144" s="2"/>
      <c r="M144" s="2"/>
    </row>
    <row r="145" spans="1:13" ht="84.95">
      <c r="A145" s="2" t="s">
        <v>888</v>
      </c>
      <c r="B145" s="2" t="s">
        <v>889</v>
      </c>
      <c r="C145" s="2" t="s">
        <v>233</v>
      </c>
      <c r="D145" s="2" t="s">
        <v>890</v>
      </c>
      <c r="E145" s="2" t="s">
        <v>891</v>
      </c>
      <c r="F145" s="2" t="str">
        <f>Eligibility_R1!I145</f>
        <v>Include</v>
      </c>
      <c r="G145" s="2" t="str">
        <f>Eligibility_R2!I145</f>
        <v>Include</v>
      </c>
      <c r="H145" s="2" t="str">
        <f t="shared" si="4"/>
        <v>Agree</v>
      </c>
      <c r="I145" s="2">
        <f>Eligibility_R1!J145</f>
        <v>0</v>
      </c>
      <c r="J145" s="2">
        <f>Eligibility_R2!J145</f>
        <v>0</v>
      </c>
      <c r="K145" s="2"/>
      <c r="L145" s="2"/>
      <c r="M145" s="2"/>
    </row>
    <row r="146" spans="1:13" ht="70.7">
      <c r="A146" s="2" t="s">
        <v>894</v>
      </c>
      <c r="B146" s="2" t="s">
        <v>895</v>
      </c>
      <c r="C146" s="2" t="s">
        <v>167</v>
      </c>
      <c r="D146" s="2" t="s">
        <v>896</v>
      </c>
      <c r="E146" s="2" t="s">
        <v>897</v>
      </c>
      <c r="F146" s="2" t="str">
        <f>Eligibility_R1!I146</f>
        <v>Exclude</v>
      </c>
      <c r="G146" s="2" t="str">
        <f>Eligibility_R2!I146</f>
        <v>Exclude</v>
      </c>
      <c r="H146" s="2" t="str">
        <f t="shared" si="4"/>
        <v>Agree</v>
      </c>
      <c r="I146" s="2" t="str">
        <f>Eligibility_R1!J146</f>
        <v>Not PE/HDP</v>
      </c>
      <c r="J146" s="2" t="str">
        <f>Eligibility_R2!J146</f>
        <v>Not PE/HDP</v>
      </c>
      <c r="K146" s="2"/>
      <c r="L146" s="2"/>
      <c r="M146"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500-000000000000}">
          <x14:formula1>
            <xm:f>Data_Dictionary!$A$2:$A$4</xm:f>
          </x14:formula1>
          <xm:sqref>K2:K146</xm:sqref>
        </x14:dataValidation>
        <x14:dataValidation type="list" xr:uid="{00000000-0002-0000-0500-000001000000}">
          <x14:formula1>
            <xm:f>Data_Dictionary!$B$2:$B$11</xm:f>
          </x14:formula1>
          <xm:sqref>L2:L146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36"/>
  <sheetViews>
    <sheetView workbookViewId="0"/>
  </sheetViews>
  <sheetFormatPr defaultRowHeight="14.1"/>
  <cols>
    <col min="1" max="1" width="10" customWidth="1"/>
    <col min="2" max="2" width="18" customWidth="1"/>
    <col min="3" max="3" width="8" customWidth="1"/>
    <col min="4" max="4" width="25" customWidth="1"/>
    <col min="5" max="5" width="45" customWidth="1"/>
    <col min="6" max="7" width="24" customWidth="1"/>
    <col min="8" max="9" width="28" customWidth="1"/>
    <col min="10" max="11" width="45" customWidth="1"/>
    <col min="12" max="13" width="32" customWidth="1"/>
    <col min="14" max="14" width="14" customWidth="1"/>
    <col min="15" max="15" width="12" customWidth="1"/>
    <col min="16" max="16" width="14" customWidth="1"/>
    <col min="17" max="18" width="18" customWidth="1"/>
    <col min="19" max="19" width="28" customWidth="1"/>
    <col min="20" max="20" width="22" customWidth="1"/>
    <col min="21" max="21" width="26" customWidth="1"/>
    <col min="22" max="22" width="20" customWidth="1"/>
    <col min="23" max="24" width="22" customWidth="1"/>
    <col min="25" max="25" width="12" customWidth="1"/>
    <col min="26" max="26" width="14" customWidth="1"/>
    <col min="27" max="27" width="50" customWidth="1"/>
  </cols>
  <sheetData>
    <row r="1" spans="1:27" ht="20.65" customHeight="1">
      <c r="A1" s="3" t="s">
        <v>112</v>
      </c>
      <c r="B1" s="3" t="s">
        <v>113</v>
      </c>
      <c r="C1" s="3" t="s">
        <v>114</v>
      </c>
      <c r="D1" s="3" t="s">
        <v>116</v>
      </c>
      <c r="E1" s="3" t="s">
        <v>117</v>
      </c>
      <c r="F1" s="3" t="s">
        <v>938</v>
      </c>
      <c r="G1" s="3" t="s">
        <v>939</v>
      </c>
      <c r="H1" s="3" t="s">
        <v>940</v>
      </c>
      <c r="I1" s="3" t="s">
        <v>941</v>
      </c>
      <c r="J1" s="3" t="s">
        <v>942</v>
      </c>
      <c r="K1" s="3" t="s">
        <v>943</v>
      </c>
      <c r="L1" s="3" t="s">
        <v>944</v>
      </c>
      <c r="M1" s="3" t="s">
        <v>945</v>
      </c>
      <c r="N1" s="3" t="s">
        <v>946</v>
      </c>
      <c r="O1" s="3" t="s">
        <v>947</v>
      </c>
      <c r="P1" s="3" t="s">
        <v>948</v>
      </c>
      <c r="Q1" s="3" t="s">
        <v>949</v>
      </c>
      <c r="R1" s="3" t="s">
        <v>950</v>
      </c>
      <c r="S1" s="3" t="s">
        <v>951</v>
      </c>
      <c r="T1" s="3" t="s">
        <v>952</v>
      </c>
      <c r="U1" s="3" t="s">
        <v>953</v>
      </c>
      <c r="V1" s="3" t="s">
        <v>87</v>
      </c>
      <c r="W1" s="3" t="s">
        <v>88</v>
      </c>
      <c r="X1" s="3" t="s">
        <v>954</v>
      </c>
      <c r="Y1" s="3" t="s">
        <v>28</v>
      </c>
      <c r="Z1" s="3" t="s">
        <v>124</v>
      </c>
      <c r="AA1" s="3" t="s">
        <v>125</v>
      </c>
    </row>
    <row r="2" spans="1:27" ht="70.7">
      <c r="A2" s="2" t="s">
        <v>282</v>
      </c>
      <c r="B2" s="2" t="s">
        <v>283</v>
      </c>
      <c r="C2" s="2" t="s">
        <v>135</v>
      </c>
      <c r="D2" s="2" t="s">
        <v>284</v>
      </c>
      <c r="E2" s="2" t="s">
        <v>285</v>
      </c>
      <c r="F2" s="2" t="s">
        <v>955</v>
      </c>
      <c r="G2" s="2"/>
      <c r="H2" s="2" t="s">
        <v>956</v>
      </c>
      <c r="I2" s="2"/>
      <c r="J2" s="2" t="s">
        <v>957</v>
      </c>
      <c r="K2" s="2"/>
      <c r="L2" s="2"/>
      <c r="M2" s="2"/>
      <c r="N2" s="2"/>
      <c r="O2" s="2"/>
      <c r="P2" s="2"/>
      <c r="Q2" s="2"/>
      <c r="R2" s="2"/>
      <c r="S2" s="2"/>
      <c r="T2" s="2"/>
      <c r="U2" s="2"/>
      <c r="V2" s="2" t="s">
        <v>53</v>
      </c>
      <c r="W2" s="2"/>
      <c r="X2" s="2"/>
      <c r="Y2" s="2"/>
      <c r="Z2" s="2"/>
      <c r="AA2" s="2"/>
    </row>
    <row r="3" spans="1:27" ht="70.7">
      <c r="A3" s="2" t="s">
        <v>596</v>
      </c>
      <c r="B3" s="2" t="s">
        <v>597</v>
      </c>
      <c r="C3" s="2" t="s">
        <v>141</v>
      </c>
      <c r="D3" s="2" t="s">
        <v>598</v>
      </c>
      <c r="E3" s="2" t="s">
        <v>599</v>
      </c>
      <c r="F3" s="2" t="s">
        <v>955</v>
      </c>
      <c r="G3" s="2"/>
      <c r="H3" s="2" t="s">
        <v>79</v>
      </c>
      <c r="I3" s="2"/>
      <c r="J3" s="2"/>
      <c r="K3" s="2"/>
      <c r="L3" s="2" t="s">
        <v>958</v>
      </c>
      <c r="M3" s="2"/>
      <c r="N3" s="2"/>
      <c r="O3" s="2"/>
      <c r="P3" s="2"/>
      <c r="Q3" s="2"/>
      <c r="R3" s="2"/>
      <c r="S3" s="2"/>
      <c r="T3" s="2"/>
      <c r="U3" s="2"/>
      <c r="V3" s="2" t="s">
        <v>53</v>
      </c>
      <c r="W3" s="2"/>
      <c r="X3" s="2"/>
      <c r="Y3" s="2"/>
      <c r="Z3" s="2"/>
      <c r="AA3" s="2"/>
    </row>
    <row r="4" spans="1:27" ht="70.7">
      <c r="A4" s="2" t="s">
        <v>330</v>
      </c>
      <c r="B4" s="2" t="s">
        <v>331</v>
      </c>
      <c r="C4" s="2" t="s">
        <v>152</v>
      </c>
      <c r="D4" s="2" t="s">
        <v>332</v>
      </c>
      <c r="E4" s="2" t="s">
        <v>333</v>
      </c>
      <c r="F4" s="2" t="s">
        <v>955</v>
      </c>
      <c r="G4" s="2"/>
      <c r="H4" s="2"/>
      <c r="I4" s="2"/>
      <c r="J4" s="2" t="s">
        <v>959</v>
      </c>
      <c r="K4" s="2"/>
      <c r="L4" s="2" t="s">
        <v>76</v>
      </c>
      <c r="M4" s="2"/>
      <c r="N4" s="2"/>
      <c r="O4" s="2"/>
      <c r="P4" s="2"/>
      <c r="Q4" s="2"/>
      <c r="R4" s="2"/>
      <c r="S4" s="2"/>
      <c r="T4" s="2"/>
      <c r="U4" s="2"/>
      <c r="V4" s="2" t="s">
        <v>53</v>
      </c>
      <c r="W4" s="2"/>
      <c r="X4" s="2"/>
      <c r="Y4" s="2"/>
      <c r="Z4" s="2"/>
      <c r="AA4" s="2"/>
    </row>
    <row r="5" spans="1:27" ht="70.7">
      <c r="A5" s="2" t="s">
        <v>586</v>
      </c>
      <c r="B5" s="2" t="s">
        <v>587</v>
      </c>
      <c r="C5" s="2" t="s">
        <v>152</v>
      </c>
      <c r="D5" s="2" t="s">
        <v>588</v>
      </c>
      <c r="E5" s="2" t="s">
        <v>589</v>
      </c>
      <c r="F5" s="2" t="s">
        <v>960</v>
      </c>
      <c r="G5" s="2"/>
      <c r="H5" s="2" t="s">
        <v>961</v>
      </c>
      <c r="I5" s="2"/>
      <c r="J5" s="2" t="s">
        <v>962</v>
      </c>
      <c r="K5" s="2"/>
      <c r="L5" s="2" t="s">
        <v>963</v>
      </c>
      <c r="M5" s="2"/>
      <c r="N5" s="2"/>
      <c r="O5" s="2">
        <v>0.79</v>
      </c>
      <c r="P5" s="2"/>
      <c r="Q5" s="2"/>
      <c r="R5" s="2"/>
      <c r="S5" s="2"/>
      <c r="T5" s="2"/>
      <c r="U5" s="2"/>
      <c r="V5" s="2" t="s">
        <v>964</v>
      </c>
      <c r="W5" s="2"/>
      <c r="X5" s="2"/>
      <c r="Y5" s="2"/>
      <c r="Z5" s="2"/>
      <c r="AA5" s="2"/>
    </row>
    <row r="6" spans="1:27" ht="70.7">
      <c r="A6" s="2" t="s">
        <v>783</v>
      </c>
      <c r="B6" s="2" t="s">
        <v>784</v>
      </c>
      <c r="C6" s="2" t="s">
        <v>152</v>
      </c>
      <c r="D6" s="2" t="s">
        <v>785</v>
      </c>
      <c r="E6" s="2" t="s">
        <v>786</v>
      </c>
      <c r="F6" s="2" t="s">
        <v>955</v>
      </c>
      <c r="G6" s="2"/>
      <c r="H6" s="2" t="s">
        <v>965</v>
      </c>
      <c r="I6" s="2"/>
      <c r="J6" s="2" t="s">
        <v>966</v>
      </c>
      <c r="K6" s="2"/>
      <c r="L6" s="2"/>
      <c r="M6" s="2"/>
      <c r="N6" s="2"/>
      <c r="O6" s="2"/>
      <c r="P6" s="2"/>
      <c r="Q6" s="2"/>
      <c r="R6" s="2"/>
      <c r="S6" s="2"/>
      <c r="T6" s="2"/>
      <c r="U6" s="2"/>
      <c r="V6" s="2" t="s">
        <v>53</v>
      </c>
      <c r="W6" s="2"/>
      <c r="X6" s="2"/>
      <c r="Y6" s="2"/>
      <c r="Z6" s="2"/>
      <c r="AA6" s="2"/>
    </row>
    <row r="7" spans="1:27" ht="70.7">
      <c r="A7" s="2" t="s">
        <v>463</v>
      </c>
      <c r="B7" s="2" t="s">
        <v>464</v>
      </c>
      <c r="C7" s="2" t="s">
        <v>157</v>
      </c>
      <c r="D7" s="2" t="s">
        <v>465</v>
      </c>
      <c r="E7" s="2" t="s">
        <v>466</v>
      </c>
      <c r="F7" s="2" t="s">
        <v>967</v>
      </c>
      <c r="G7" s="2"/>
      <c r="H7" s="2"/>
      <c r="I7" s="2"/>
      <c r="J7" s="2"/>
      <c r="K7" s="2"/>
      <c r="L7" s="2" t="s">
        <v>40</v>
      </c>
      <c r="M7" s="2"/>
      <c r="N7" s="2"/>
      <c r="O7" s="2">
        <v>0.81</v>
      </c>
      <c r="P7" s="2"/>
      <c r="Q7" s="2"/>
      <c r="R7" s="2"/>
      <c r="S7" s="2"/>
      <c r="T7" s="2"/>
      <c r="U7" s="2"/>
      <c r="V7" s="2" t="s">
        <v>968</v>
      </c>
      <c r="W7" s="2"/>
      <c r="X7" s="2"/>
      <c r="Y7" s="2"/>
      <c r="Z7" s="2"/>
      <c r="AA7" s="2"/>
    </row>
    <row r="8" spans="1:27" ht="70.7">
      <c r="A8" s="2" t="s">
        <v>534</v>
      </c>
      <c r="B8" s="2" t="s">
        <v>535</v>
      </c>
      <c r="C8" s="2" t="s">
        <v>157</v>
      </c>
      <c r="D8" s="2" t="s">
        <v>536</v>
      </c>
      <c r="E8" s="2" t="s">
        <v>537</v>
      </c>
      <c r="F8" s="2" t="s">
        <v>955</v>
      </c>
      <c r="G8" s="2"/>
      <c r="H8" s="2" t="s">
        <v>969</v>
      </c>
      <c r="I8" s="2"/>
      <c r="J8" s="2" t="s">
        <v>970</v>
      </c>
      <c r="K8" s="2"/>
      <c r="L8" s="2" t="s">
        <v>971</v>
      </c>
      <c r="M8" s="2"/>
      <c r="N8" s="2"/>
      <c r="O8" s="2">
        <v>0.95499999999999996</v>
      </c>
      <c r="P8" s="2"/>
      <c r="Q8" s="2"/>
      <c r="R8" s="2"/>
      <c r="S8" s="2" t="s">
        <v>972</v>
      </c>
      <c r="T8" s="2"/>
      <c r="U8" s="2"/>
      <c r="V8" s="2" t="s">
        <v>964</v>
      </c>
      <c r="W8" s="2"/>
      <c r="X8" s="2"/>
      <c r="Y8" s="2"/>
      <c r="Z8" s="2"/>
      <c r="AA8" s="2"/>
    </row>
    <row r="9" spans="1:27" ht="70.7">
      <c r="A9" s="2" t="s">
        <v>861</v>
      </c>
      <c r="B9" s="2" t="s">
        <v>862</v>
      </c>
      <c r="C9" s="2" t="s">
        <v>157</v>
      </c>
      <c r="D9" s="2" t="s">
        <v>863</v>
      </c>
      <c r="E9" s="2" t="s">
        <v>864</v>
      </c>
      <c r="F9" s="2" t="s">
        <v>973</v>
      </c>
      <c r="G9" s="2"/>
      <c r="H9" s="2" t="s">
        <v>974</v>
      </c>
      <c r="I9" s="2"/>
      <c r="J9" s="2" t="s">
        <v>975</v>
      </c>
      <c r="K9" s="2"/>
      <c r="L9" s="2"/>
      <c r="M9" s="2"/>
      <c r="N9" s="2"/>
      <c r="O9" s="2"/>
      <c r="P9" s="2"/>
      <c r="Q9" s="2"/>
      <c r="R9" s="2"/>
      <c r="S9" s="2"/>
      <c r="T9" s="2"/>
      <c r="U9" s="2" t="s">
        <v>976</v>
      </c>
      <c r="V9" s="2" t="s">
        <v>62</v>
      </c>
      <c r="W9" s="2"/>
      <c r="X9" s="2"/>
      <c r="Y9" s="2"/>
      <c r="Z9" s="2"/>
      <c r="AA9" s="2"/>
    </row>
    <row r="10" spans="1:27" ht="84.95">
      <c r="A10" s="2" t="s">
        <v>514</v>
      </c>
      <c r="B10" s="2" t="s">
        <v>515</v>
      </c>
      <c r="C10" s="2" t="s">
        <v>167</v>
      </c>
      <c r="D10" s="2" t="s">
        <v>516</v>
      </c>
      <c r="E10" s="2" t="s">
        <v>517</v>
      </c>
      <c r="F10" s="2" t="s">
        <v>967</v>
      </c>
      <c r="G10" s="2"/>
      <c r="H10" s="2" t="s">
        <v>969</v>
      </c>
      <c r="I10" s="2"/>
      <c r="J10" s="2" t="s">
        <v>977</v>
      </c>
      <c r="K10" s="2"/>
      <c r="L10" s="2" t="s">
        <v>40</v>
      </c>
      <c r="M10" s="2"/>
      <c r="N10" s="2"/>
      <c r="O10" s="2">
        <v>0.81</v>
      </c>
      <c r="P10" s="2"/>
      <c r="Q10" s="2"/>
      <c r="R10" s="2"/>
      <c r="S10" s="2"/>
      <c r="T10" s="2"/>
      <c r="U10" s="2"/>
      <c r="V10" s="2" t="s">
        <v>968</v>
      </c>
      <c r="W10" s="2"/>
      <c r="X10" s="2"/>
      <c r="Y10" s="2"/>
      <c r="Z10" s="2"/>
      <c r="AA10" s="2"/>
    </row>
    <row r="11" spans="1:27" ht="84.95">
      <c r="A11" s="2" t="s">
        <v>544</v>
      </c>
      <c r="B11" s="2" t="s">
        <v>545</v>
      </c>
      <c r="C11" s="2" t="s">
        <v>167</v>
      </c>
      <c r="D11" s="2" t="s">
        <v>546</v>
      </c>
      <c r="E11" s="2" t="s">
        <v>547</v>
      </c>
      <c r="F11" s="2" t="s">
        <v>955</v>
      </c>
      <c r="G11" s="2"/>
      <c r="H11" s="2" t="s">
        <v>978</v>
      </c>
      <c r="I11" s="2"/>
      <c r="J11" s="2" t="s">
        <v>979</v>
      </c>
      <c r="K11" s="2"/>
      <c r="L11" s="2" t="s">
        <v>980</v>
      </c>
      <c r="M11" s="2"/>
      <c r="N11" s="2"/>
      <c r="O11" s="2">
        <v>0.86</v>
      </c>
      <c r="P11" s="2"/>
      <c r="Q11" s="2"/>
      <c r="R11" s="2"/>
      <c r="S11" s="2"/>
      <c r="T11" s="2"/>
      <c r="U11" s="2"/>
      <c r="V11" s="2" t="s">
        <v>964</v>
      </c>
      <c r="W11" s="2"/>
      <c r="X11" s="2"/>
      <c r="Y11" s="2"/>
      <c r="Z11" s="2"/>
      <c r="AA11" s="2"/>
    </row>
    <row r="12" spans="1:27" ht="84.95">
      <c r="A12" s="2" t="s">
        <v>591</v>
      </c>
      <c r="B12" s="2" t="s">
        <v>592</v>
      </c>
      <c r="C12" s="2" t="s">
        <v>167</v>
      </c>
      <c r="D12" s="2" t="s">
        <v>593</v>
      </c>
      <c r="E12" s="2" t="s">
        <v>594</v>
      </c>
      <c r="F12" s="2" t="s">
        <v>955</v>
      </c>
      <c r="G12" s="2"/>
      <c r="H12" s="2"/>
      <c r="I12" s="2"/>
      <c r="J12" s="2"/>
      <c r="K12" s="2"/>
      <c r="L12" s="2" t="s">
        <v>76</v>
      </c>
      <c r="M12" s="2"/>
      <c r="N12" s="2"/>
      <c r="O12" s="2">
        <v>0.88</v>
      </c>
      <c r="P12" s="2"/>
      <c r="Q12" s="2"/>
      <c r="R12" s="2"/>
      <c r="S12" s="2"/>
      <c r="T12" s="2"/>
      <c r="U12" s="2"/>
      <c r="V12" s="2" t="s">
        <v>53</v>
      </c>
      <c r="W12" s="2"/>
      <c r="X12" s="2"/>
      <c r="Y12" s="2"/>
      <c r="Z12" s="2"/>
      <c r="AA12" s="2"/>
    </row>
    <row r="13" spans="1:27" ht="70.7">
      <c r="A13" s="2" t="s">
        <v>756</v>
      </c>
      <c r="B13" s="2" t="s">
        <v>757</v>
      </c>
      <c r="C13" s="2" t="s">
        <v>167</v>
      </c>
      <c r="D13" s="2" t="s">
        <v>758</v>
      </c>
      <c r="E13" s="2" t="s">
        <v>759</v>
      </c>
      <c r="F13" s="2"/>
      <c r="G13" s="2"/>
      <c r="H13" s="2" t="s">
        <v>39</v>
      </c>
      <c r="I13" s="2"/>
      <c r="J13" s="2" t="s">
        <v>981</v>
      </c>
      <c r="K13" s="2"/>
      <c r="L13" s="2" t="s">
        <v>982</v>
      </c>
      <c r="M13" s="2"/>
      <c r="N13" s="2"/>
      <c r="O13" s="2">
        <v>0.82</v>
      </c>
      <c r="P13" s="2"/>
      <c r="Q13" s="2"/>
      <c r="R13" s="2"/>
      <c r="S13" s="2"/>
      <c r="T13" s="2"/>
      <c r="U13" s="2"/>
      <c r="V13" s="2" t="s">
        <v>964</v>
      </c>
      <c r="W13" s="2"/>
      <c r="X13" s="2"/>
      <c r="Y13" s="2"/>
      <c r="Z13" s="2"/>
      <c r="AA13" s="2"/>
    </row>
    <row r="14" spans="1:27" ht="70.7">
      <c r="A14" s="2" t="s">
        <v>259</v>
      </c>
      <c r="B14" s="2" t="s">
        <v>260</v>
      </c>
      <c r="C14" s="2" t="s">
        <v>190</v>
      </c>
      <c r="D14" s="2" t="s">
        <v>261</v>
      </c>
      <c r="E14" s="2" t="s">
        <v>262</v>
      </c>
      <c r="F14" s="2" t="s">
        <v>960</v>
      </c>
      <c r="G14" s="2"/>
      <c r="H14" s="2" t="s">
        <v>961</v>
      </c>
      <c r="I14" s="2"/>
      <c r="J14" s="2" t="s">
        <v>983</v>
      </c>
      <c r="K14" s="2"/>
      <c r="L14" s="2" t="s">
        <v>963</v>
      </c>
      <c r="M14" s="2"/>
      <c r="N14" s="2"/>
      <c r="O14" s="2">
        <v>0.85799999999999998</v>
      </c>
      <c r="P14" s="2"/>
      <c r="Q14" s="2"/>
      <c r="R14" s="2"/>
      <c r="S14" s="2"/>
      <c r="T14" s="2"/>
      <c r="U14" s="2"/>
      <c r="V14" s="2" t="s">
        <v>53</v>
      </c>
      <c r="W14" s="2"/>
      <c r="X14" s="2"/>
      <c r="Y14" s="2"/>
      <c r="Z14" s="2"/>
      <c r="AA14" s="2"/>
    </row>
    <row r="15" spans="1:27" ht="70.7">
      <c r="A15" s="2" t="s">
        <v>400</v>
      </c>
      <c r="B15" s="2" t="s">
        <v>401</v>
      </c>
      <c r="C15" s="2" t="s">
        <v>190</v>
      </c>
      <c r="D15" s="2" t="s">
        <v>402</v>
      </c>
      <c r="E15" s="2" t="s">
        <v>403</v>
      </c>
      <c r="F15" s="2" t="s">
        <v>955</v>
      </c>
      <c r="G15" s="2"/>
      <c r="H15" s="2" t="s">
        <v>984</v>
      </c>
      <c r="I15" s="2"/>
      <c r="J15" s="2" t="s">
        <v>985</v>
      </c>
      <c r="K15" s="2"/>
      <c r="L15" s="2" t="s">
        <v>40</v>
      </c>
      <c r="M15" s="2"/>
      <c r="N15" s="2"/>
      <c r="O15" s="2">
        <v>0.96</v>
      </c>
      <c r="P15" s="2"/>
      <c r="Q15" s="2"/>
      <c r="R15" s="2"/>
      <c r="S15" s="2"/>
      <c r="T15" s="2"/>
      <c r="U15" s="2"/>
      <c r="V15" s="2" t="s">
        <v>964</v>
      </c>
      <c r="W15" s="2"/>
      <c r="X15" s="2"/>
      <c r="Y15" s="2"/>
      <c r="Z15" s="2"/>
      <c r="AA15" s="2"/>
    </row>
    <row r="16" spans="1:27" ht="70.7">
      <c r="A16" s="2" t="s">
        <v>549</v>
      </c>
      <c r="B16" s="2" t="s">
        <v>550</v>
      </c>
      <c r="C16" s="2" t="s">
        <v>190</v>
      </c>
      <c r="D16" s="2" t="s">
        <v>551</v>
      </c>
      <c r="E16" s="2" t="s">
        <v>552</v>
      </c>
      <c r="F16" s="2" t="s">
        <v>986</v>
      </c>
      <c r="G16" s="2"/>
      <c r="H16" s="2" t="s">
        <v>55</v>
      </c>
      <c r="I16" s="2"/>
      <c r="J16" s="2"/>
      <c r="K16" s="2"/>
      <c r="L16" s="2" t="s">
        <v>71</v>
      </c>
      <c r="M16" s="2"/>
      <c r="N16" s="2"/>
      <c r="O16" s="2">
        <v>0.88</v>
      </c>
      <c r="P16" s="2"/>
      <c r="Q16" s="2"/>
      <c r="R16" s="2"/>
      <c r="S16" s="2"/>
      <c r="T16" s="2"/>
      <c r="U16" s="2"/>
      <c r="V16" s="2" t="s">
        <v>53</v>
      </c>
      <c r="W16" s="2"/>
      <c r="X16" s="2"/>
      <c r="Y16" s="2"/>
      <c r="Z16" s="2"/>
      <c r="AA16" s="2"/>
    </row>
    <row r="17" spans="1:27" ht="84.95">
      <c r="A17" s="2" t="s">
        <v>850</v>
      </c>
      <c r="B17" s="2" t="s">
        <v>851</v>
      </c>
      <c r="C17" s="2" t="s">
        <v>190</v>
      </c>
      <c r="D17" s="2" t="s">
        <v>852</v>
      </c>
      <c r="E17" s="2" t="s">
        <v>853</v>
      </c>
      <c r="F17" s="2"/>
      <c r="G17" s="2"/>
      <c r="H17" s="2" t="s">
        <v>961</v>
      </c>
      <c r="I17" s="2"/>
      <c r="J17" s="2"/>
      <c r="K17" s="2"/>
      <c r="L17" s="2" t="s">
        <v>987</v>
      </c>
      <c r="M17" s="2"/>
      <c r="N17" s="2"/>
      <c r="O17" s="2">
        <v>0.85099999999999998</v>
      </c>
      <c r="P17" s="2"/>
      <c r="Q17" s="2"/>
      <c r="R17" s="2"/>
      <c r="S17" s="2" t="s">
        <v>972</v>
      </c>
      <c r="T17" s="2"/>
      <c r="U17" s="2"/>
      <c r="V17" s="2" t="s">
        <v>968</v>
      </c>
      <c r="W17" s="2"/>
      <c r="X17" s="2"/>
      <c r="Y17" s="2"/>
      <c r="Z17" s="2"/>
      <c r="AA17" s="2"/>
    </row>
    <row r="18" spans="1:27" ht="70.7">
      <c r="A18" s="2" t="s">
        <v>287</v>
      </c>
      <c r="B18" s="2" t="s">
        <v>288</v>
      </c>
      <c r="C18" s="2" t="s">
        <v>202</v>
      </c>
      <c r="D18" s="2" t="s">
        <v>289</v>
      </c>
      <c r="E18" s="2" t="s">
        <v>290</v>
      </c>
      <c r="F18" s="2" t="s">
        <v>955</v>
      </c>
      <c r="G18" s="2"/>
      <c r="H18" s="2" t="s">
        <v>47</v>
      </c>
      <c r="I18" s="2"/>
      <c r="J18" s="2" t="s">
        <v>988</v>
      </c>
      <c r="K18" s="2"/>
      <c r="L18" s="2" t="s">
        <v>971</v>
      </c>
      <c r="M18" s="2"/>
      <c r="N18" s="2"/>
      <c r="O18" s="2"/>
      <c r="P18" s="2"/>
      <c r="Q18" s="2"/>
      <c r="R18" s="2"/>
      <c r="S18" s="2" t="s">
        <v>972</v>
      </c>
      <c r="T18" s="2"/>
      <c r="U18" s="2"/>
      <c r="V18" s="2" t="s">
        <v>964</v>
      </c>
      <c r="W18" s="2"/>
      <c r="X18" s="2"/>
      <c r="Y18" s="2"/>
      <c r="Z18" s="2"/>
      <c r="AA18" s="2"/>
    </row>
    <row r="19" spans="1:27" ht="70.7">
      <c r="A19" s="2" t="s">
        <v>324</v>
      </c>
      <c r="B19" s="2" t="s">
        <v>325</v>
      </c>
      <c r="C19" s="2" t="s">
        <v>202</v>
      </c>
      <c r="D19" s="2" t="s">
        <v>326</v>
      </c>
      <c r="E19" s="2" t="s">
        <v>327</v>
      </c>
      <c r="F19" s="2" t="s">
        <v>960</v>
      </c>
      <c r="G19" s="2"/>
      <c r="H19" s="2" t="s">
        <v>60</v>
      </c>
      <c r="I19" s="2"/>
      <c r="J19" s="2"/>
      <c r="K19" s="2"/>
      <c r="L19" s="2" t="s">
        <v>40</v>
      </c>
      <c r="M19" s="2"/>
      <c r="N19" s="2"/>
      <c r="O19" s="2">
        <v>0.85</v>
      </c>
      <c r="P19" s="2"/>
      <c r="Q19" s="2"/>
      <c r="R19" s="2"/>
      <c r="S19" s="2"/>
      <c r="T19" s="2"/>
      <c r="U19" s="2"/>
      <c r="V19" s="2" t="s">
        <v>53</v>
      </c>
      <c r="W19" s="2"/>
      <c r="X19" s="2"/>
      <c r="Y19" s="2"/>
      <c r="Z19" s="2"/>
      <c r="AA19" s="2"/>
    </row>
    <row r="20" spans="1:27" ht="70.7">
      <c r="A20" s="2" t="s">
        <v>438</v>
      </c>
      <c r="B20" s="2" t="s">
        <v>439</v>
      </c>
      <c r="C20" s="2" t="s">
        <v>202</v>
      </c>
      <c r="D20" s="2" t="s">
        <v>440</v>
      </c>
      <c r="E20" s="2" t="s">
        <v>441</v>
      </c>
      <c r="F20" s="2" t="s">
        <v>955</v>
      </c>
      <c r="G20" s="2"/>
      <c r="H20" s="2" t="s">
        <v>60</v>
      </c>
      <c r="I20" s="2"/>
      <c r="J20" s="2" t="s">
        <v>989</v>
      </c>
      <c r="K20" s="2"/>
      <c r="L20" s="2" t="s">
        <v>990</v>
      </c>
      <c r="M20" s="2"/>
      <c r="N20" s="2"/>
      <c r="O20" s="2">
        <v>0.84599999999999997</v>
      </c>
      <c r="P20" s="2"/>
      <c r="Q20" s="2"/>
      <c r="R20" s="2"/>
      <c r="S20" s="2"/>
      <c r="T20" s="2"/>
      <c r="U20" s="2"/>
      <c r="V20" s="2" t="s">
        <v>53</v>
      </c>
      <c r="W20" s="2"/>
      <c r="X20" s="2"/>
      <c r="Y20" s="2"/>
      <c r="Z20" s="2"/>
      <c r="AA20" s="2"/>
    </row>
    <row r="21" spans="1:27" ht="70.7">
      <c r="A21" s="2" t="s">
        <v>503</v>
      </c>
      <c r="B21" s="2" t="s">
        <v>504</v>
      </c>
      <c r="C21" s="2" t="s">
        <v>202</v>
      </c>
      <c r="D21" s="2" t="s">
        <v>505</v>
      </c>
      <c r="E21" s="2" t="s">
        <v>506</v>
      </c>
      <c r="F21" s="2" t="s">
        <v>960</v>
      </c>
      <c r="G21" s="2"/>
      <c r="H21" s="2" t="s">
        <v>991</v>
      </c>
      <c r="I21" s="2"/>
      <c r="J21" s="2" t="s">
        <v>992</v>
      </c>
      <c r="K21" s="2"/>
      <c r="L21" s="2" t="s">
        <v>993</v>
      </c>
      <c r="M21" s="2"/>
      <c r="N21" s="2"/>
      <c r="O21" s="2">
        <v>0.8</v>
      </c>
      <c r="P21" s="2"/>
      <c r="Q21" s="2"/>
      <c r="R21" s="2"/>
      <c r="S21" s="2"/>
      <c r="T21" s="2"/>
      <c r="U21" s="2"/>
      <c r="V21" s="2" t="s">
        <v>968</v>
      </c>
      <c r="W21" s="2"/>
      <c r="X21" s="2"/>
      <c r="Y21" s="2"/>
      <c r="Z21" s="2"/>
      <c r="AA21" s="2"/>
    </row>
    <row r="22" spans="1:27" ht="70.7">
      <c r="A22" s="2" t="s">
        <v>529</v>
      </c>
      <c r="B22" s="2" t="s">
        <v>530</v>
      </c>
      <c r="C22" s="2" t="s">
        <v>202</v>
      </c>
      <c r="D22" s="2" t="s">
        <v>531</v>
      </c>
      <c r="E22" s="2" t="s">
        <v>532</v>
      </c>
      <c r="F22" s="2" t="s">
        <v>955</v>
      </c>
      <c r="G22" s="2"/>
      <c r="H22" s="2" t="s">
        <v>994</v>
      </c>
      <c r="I22" s="2"/>
      <c r="J22" s="2" t="s">
        <v>995</v>
      </c>
      <c r="K22" s="2"/>
      <c r="L22" s="2" t="s">
        <v>996</v>
      </c>
      <c r="M22" s="2"/>
      <c r="N22" s="2"/>
      <c r="O22" s="2"/>
      <c r="P22" s="2"/>
      <c r="Q22" s="2"/>
      <c r="R22" s="2"/>
      <c r="S22" s="2" t="s">
        <v>972</v>
      </c>
      <c r="T22" s="2"/>
      <c r="U22" s="2"/>
      <c r="V22" s="2" t="s">
        <v>968</v>
      </c>
      <c r="W22" s="2"/>
      <c r="X22" s="2"/>
      <c r="Y22" s="2"/>
      <c r="Z22" s="2"/>
      <c r="AA22" s="2"/>
    </row>
    <row r="23" spans="1:27" ht="84.95">
      <c r="A23" s="2" t="s">
        <v>565</v>
      </c>
      <c r="B23" s="2" t="s">
        <v>566</v>
      </c>
      <c r="C23" s="2" t="s">
        <v>202</v>
      </c>
      <c r="D23" s="2" t="s">
        <v>567</v>
      </c>
      <c r="E23" s="2" t="s">
        <v>568</v>
      </c>
      <c r="F23" s="2" t="s">
        <v>955</v>
      </c>
      <c r="G23" s="2"/>
      <c r="H23" s="2" t="s">
        <v>75</v>
      </c>
      <c r="I23" s="2"/>
      <c r="J23" s="2"/>
      <c r="K23" s="2"/>
      <c r="L23" s="2" t="s">
        <v>997</v>
      </c>
      <c r="M23" s="2"/>
      <c r="N23" s="2"/>
      <c r="O23" s="2"/>
      <c r="P23" s="2"/>
      <c r="Q23" s="2"/>
      <c r="R23" s="2"/>
      <c r="S23" s="2"/>
      <c r="T23" s="2"/>
      <c r="U23" s="2"/>
      <c r="V23" s="2" t="s">
        <v>53</v>
      </c>
      <c r="W23" s="2"/>
      <c r="X23" s="2"/>
      <c r="Y23" s="2"/>
      <c r="Z23" s="2"/>
      <c r="AA23" s="2"/>
    </row>
    <row r="24" spans="1:27" ht="70.7">
      <c r="A24" s="2" t="s">
        <v>611</v>
      </c>
      <c r="B24" s="2" t="s">
        <v>612</v>
      </c>
      <c r="C24" s="2" t="s">
        <v>202</v>
      </c>
      <c r="D24" s="2" t="s">
        <v>613</v>
      </c>
      <c r="E24" s="2" t="s">
        <v>614</v>
      </c>
      <c r="F24" s="2" t="s">
        <v>955</v>
      </c>
      <c r="G24" s="2"/>
      <c r="H24" s="2" t="s">
        <v>998</v>
      </c>
      <c r="I24" s="2"/>
      <c r="J24" s="2" t="s">
        <v>999</v>
      </c>
      <c r="K24" s="2"/>
      <c r="L24" s="2"/>
      <c r="M24" s="2"/>
      <c r="N24" s="2"/>
      <c r="O24" s="2"/>
      <c r="P24" s="2"/>
      <c r="Q24" s="2"/>
      <c r="R24" s="2"/>
      <c r="S24" s="2"/>
      <c r="T24" s="2"/>
      <c r="U24" s="2"/>
      <c r="V24" s="2" t="s">
        <v>53</v>
      </c>
      <c r="W24" s="2"/>
      <c r="X24" s="2"/>
      <c r="Y24" s="2"/>
      <c r="Z24" s="2"/>
      <c r="AA24" s="2"/>
    </row>
    <row r="25" spans="1:27" ht="84.95">
      <c r="A25" s="2" t="s">
        <v>638</v>
      </c>
      <c r="B25" s="2" t="s">
        <v>639</v>
      </c>
      <c r="C25" s="2" t="s">
        <v>202</v>
      </c>
      <c r="D25" s="2" t="s">
        <v>640</v>
      </c>
      <c r="E25" s="2" t="s">
        <v>641</v>
      </c>
      <c r="F25" s="2" t="s">
        <v>955</v>
      </c>
      <c r="G25" s="2"/>
      <c r="H25" s="2" t="s">
        <v>969</v>
      </c>
      <c r="I25" s="2"/>
      <c r="J25" s="2" t="s">
        <v>1000</v>
      </c>
      <c r="K25" s="2"/>
      <c r="L25" s="2" t="s">
        <v>1001</v>
      </c>
      <c r="M25" s="2"/>
      <c r="N25" s="2"/>
      <c r="O25" s="2"/>
      <c r="P25" s="2"/>
      <c r="Q25" s="2"/>
      <c r="R25" s="2"/>
      <c r="S25" s="2"/>
      <c r="T25" s="2"/>
      <c r="U25" s="2"/>
      <c r="V25" s="2" t="s">
        <v>53</v>
      </c>
      <c r="W25" s="2"/>
      <c r="X25" s="2"/>
      <c r="Y25" s="2"/>
      <c r="Z25" s="2"/>
      <c r="AA25" s="2"/>
    </row>
    <row r="26" spans="1:27" ht="70.7">
      <c r="A26" s="2" t="s">
        <v>660</v>
      </c>
      <c r="B26" s="2" t="s">
        <v>661</v>
      </c>
      <c r="C26" s="2" t="s">
        <v>202</v>
      </c>
      <c r="D26" s="2" t="s">
        <v>662</v>
      </c>
      <c r="E26" s="2" t="s">
        <v>663</v>
      </c>
      <c r="F26" s="2"/>
      <c r="G26" s="2"/>
      <c r="H26" s="2" t="s">
        <v>39</v>
      </c>
      <c r="I26" s="2"/>
      <c r="J26" s="2" t="s">
        <v>1002</v>
      </c>
      <c r="K26" s="2"/>
      <c r="L26" s="2" t="s">
        <v>1003</v>
      </c>
      <c r="M26" s="2"/>
      <c r="N26" s="2"/>
      <c r="O26" s="2">
        <v>0.8</v>
      </c>
      <c r="P26" s="2"/>
      <c r="Q26" s="2"/>
      <c r="R26" s="2"/>
      <c r="S26" s="2"/>
      <c r="T26" s="2"/>
      <c r="U26" s="2"/>
      <c r="V26" s="2" t="s">
        <v>53</v>
      </c>
      <c r="W26" s="2"/>
      <c r="X26" s="2"/>
      <c r="Y26" s="2"/>
      <c r="Z26" s="2"/>
      <c r="AA26" s="2"/>
    </row>
    <row r="27" spans="1:27" ht="70.7">
      <c r="A27" s="2" t="s">
        <v>730</v>
      </c>
      <c r="B27" s="2" t="s">
        <v>731</v>
      </c>
      <c r="C27" s="2" t="s">
        <v>202</v>
      </c>
      <c r="D27" s="2" t="s">
        <v>732</v>
      </c>
      <c r="E27" s="2" t="s">
        <v>733</v>
      </c>
      <c r="F27" s="2" t="s">
        <v>955</v>
      </c>
      <c r="G27" s="2"/>
      <c r="H27" s="2" t="s">
        <v>1004</v>
      </c>
      <c r="I27" s="2"/>
      <c r="J27" s="2" t="s">
        <v>1005</v>
      </c>
      <c r="K27" s="2"/>
      <c r="L27" s="2" t="s">
        <v>987</v>
      </c>
      <c r="M27" s="2"/>
      <c r="N27" s="2"/>
      <c r="O27" s="2">
        <v>0.97599999999999998</v>
      </c>
      <c r="P27" s="2"/>
      <c r="Q27" s="2"/>
      <c r="R27" s="2"/>
      <c r="S27" s="2"/>
      <c r="T27" s="2"/>
      <c r="U27" s="2"/>
      <c r="V27" s="2" t="s">
        <v>964</v>
      </c>
      <c r="W27" s="2"/>
      <c r="X27" s="2"/>
      <c r="Y27" s="2"/>
      <c r="Z27" s="2"/>
      <c r="AA27" s="2"/>
    </row>
    <row r="28" spans="1:27" ht="70.7">
      <c r="A28" s="2" t="s">
        <v>830</v>
      </c>
      <c r="B28" s="2" t="s">
        <v>831</v>
      </c>
      <c r="C28" s="2" t="s">
        <v>202</v>
      </c>
      <c r="D28" s="2" t="s">
        <v>832</v>
      </c>
      <c r="E28" s="2" t="s">
        <v>833</v>
      </c>
      <c r="F28" s="2" t="s">
        <v>955</v>
      </c>
      <c r="G28" s="2"/>
      <c r="H28" s="2" t="s">
        <v>961</v>
      </c>
      <c r="I28" s="2"/>
      <c r="J28" s="2" t="s">
        <v>1006</v>
      </c>
      <c r="K28" s="2"/>
      <c r="L28" s="2" t="s">
        <v>1003</v>
      </c>
      <c r="M28" s="2"/>
      <c r="N28" s="2"/>
      <c r="O28" s="2">
        <v>0.84</v>
      </c>
      <c r="P28" s="2"/>
      <c r="Q28" s="2"/>
      <c r="R28" s="2"/>
      <c r="S28" s="2" t="s">
        <v>1007</v>
      </c>
      <c r="T28" s="2"/>
      <c r="U28" s="2"/>
      <c r="V28" s="2" t="s">
        <v>53</v>
      </c>
      <c r="W28" s="2"/>
      <c r="X28" s="2"/>
      <c r="Y28" s="2"/>
      <c r="Z28" s="2"/>
      <c r="AA28" s="2"/>
    </row>
    <row r="29" spans="1:27" ht="70.7">
      <c r="A29" s="2" t="s">
        <v>840</v>
      </c>
      <c r="B29" s="2" t="s">
        <v>841</v>
      </c>
      <c r="C29" s="2" t="s">
        <v>202</v>
      </c>
      <c r="D29" s="2" t="s">
        <v>842</v>
      </c>
      <c r="E29" s="2" t="s">
        <v>843</v>
      </c>
      <c r="F29" s="2" t="s">
        <v>960</v>
      </c>
      <c r="G29" s="2"/>
      <c r="H29" s="2"/>
      <c r="I29" s="2"/>
      <c r="J29" s="2"/>
      <c r="K29" s="2"/>
      <c r="L29" s="2" t="s">
        <v>1008</v>
      </c>
      <c r="M29" s="2"/>
      <c r="N29" s="2"/>
      <c r="O29" s="2"/>
      <c r="P29" s="2"/>
      <c r="Q29" s="2"/>
      <c r="R29" s="2"/>
      <c r="S29" s="2"/>
      <c r="T29" s="2"/>
      <c r="U29" s="2"/>
      <c r="V29" s="2" t="s">
        <v>968</v>
      </c>
      <c r="W29" s="2"/>
      <c r="X29" s="2"/>
      <c r="Y29" s="2"/>
      <c r="Z29" s="2"/>
      <c r="AA29" s="2"/>
    </row>
    <row r="30" spans="1:27" ht="84.95">
      <c r="A30" s="2" t="s">
        <v>492</v>
      </c>
      <c r="B30" s="2" t="s">
        <v>493</v>
      </c>
      <c r="C30" s="2" t="s">
        <v>233</v>
      </c>
      <c r="D30" s="2" t="s">
        <v>494</v>
      </c>
      <c r="E30" s="2" t="s">
        <v>495</v>
      </c>
      <c r="F30" s="2" t="s">
        <v>955</v>
      </c>
      <c r="G30" s="2"/>
      <c r="H30" s="2" t="s">
        <v>60</v>
      </c>
      <c r="I30" s="2"/>
      <c r="J30" s="2"/>
      <c r="K30" s="2"/>
      <c r="L30" s="2" t="s">
        <v>1009</v>
      </c>
      <c r="M30" s="2"/>
      <c r="N30" s="2"/>
      <c r="O30" s="2"/>
      <c r="P30" s="2"/>
      <c r="Q30" s="2"/>
      <c r="R30" s="2"/>
      <c r="S30" s="2"/>
      <c r="T30" s="2"/>
      <c r="U30" s="2"/>
      <c r="V30" s="2" t="s">
        <v>53</v>
      </c>
      <c r="W30" s="2"/>
      <c r="X30" s="2"/>
      <c r="Y30" s="2"/>
      <c r="Z30" s="2"/>
      <c r="AA30" s="2"/>
    </row>
    <row r="31" spans="1:27" ht="70.7">
      <c r="A31" s="2" t="s">
        <v>560</v>
      </c>
      <c r="B31" s="2" t="s">
        <v>561</v>
      </c>
      <c r="C31" s="2" t="s">
        <v>233</v>
      </c>
      <c r="D31" s="2" t="s">
        <v>562</v>
      </c>
      <c r="E31" s="2" t="s">
        <v>563</v>
      </c>
      <c r="F31" s="2" t="s">
        <v>955</v>
      </c>
      <c r="G31" s="2"/>
      <c r="H31" s="2" t="s">
        <v>1010</v>
      </c>
      <c r="I31" s="2"/>
      <c r="J31" s="2" t="s">
        <v>1011</v>
      </c>
      <c r="K31" s="2"/>
      <c r="L31" s="2" t="s">
        <v>40</v>
      </c>
      <c r="M31" s="2"/>
      <c r="N31" s="2"/>
      <c r="O31" s="2"/>
      <c r="P31" s="2"/>
      <c r="Q31" s="2"/>
      <c r="R31" s="2"/>
      <c r="S31" s="2"/>
      <c r="T31" s="2"/>
      <c r="U31" s="2"/>
      <c r="V31" s="2" t="s">
        <v>53</v>
      </c>
      <c r="W31" s="2"/>
      <c r="X31" s="2"/>
      <c r="Y31" s="2"/>
      <c r="Z31" s="2"/>
      <c r="AA31" s="2"/>
    </row>
    <row r="32" spans="1:27" ht="70.7">
      <c r="A32" s="2" t="s">
        <v>740</v>
      </c>
      <c r="B32" s="2" t="s">
        <v>741</v>
      </c>
      <c r="C32" s="2" t="s">
        <v>233</v>
      </c>
      <c r="D32" s="2" t="s">
        <v>742</v>
      </c>
      <c r="E32" s="2" t="s">
        <v>743</v>
      </c>
      <c r="F32" s="2" t="s">
        <v>955</v>
      </c>
      <c r="G32" s="2"/>
      <c r="H32" s="2" t="s">
        <v>1012</v>
      </c>
      <c r="I32" s="2"/>
      <c r="J32" s="2"/>
      <c r="K32" s="2"/>
      <c r="L32" s="2"/>
      <c r="M32" s="2"/>
      <c r="N32" s="2"/>
      <c r="O32" s="2">
        <v>0.89</v>
      </c>
      <c r="P32" s="2"/>
      <c r="Q32" s="2"/>
      <c r="R32" s="2"/>
      <c r="S32" s="2" t="s">
        <v>1013</v>
      </c>
      <c r="T32" s="2"/>
      <c r="U32" s="2"/>
      <c r="V32" s="2" t="s">
        <v>53</v>
      </c>
      <c r="W32" s="2"/>
      <c r="X32" s="2"/>
      <c r="Y32" s="2"/>
      <c r="Z32" s="2"/>
      <c r="AA32" s="2"/>
    </row>
    <row r="33" spans="1:27" ht="84.95">
      <c r="A33" s="2" t="s">
        <v>825</v>
      </c>
      <c r="B33" s="2" t="s">
        <v>826</v>
      </c>
      <c r="C33" s="2" t="s">
        <v>233</v>
      </c>
      <c r="D33" s="2" t="s">
        <v>827</v>
      </c>
      <c r="E33" s="2" t="s">
        <v>828</v>
      </c>
      <c r="F33" s="2" t="s">
        <v>955</v>
      </c>
      <c r="G33" s="2"/>
      <c r="H33" s="2" t="s">
        <v>961</v>
      </c>
      <c r="I33" s="2"/>
      <c r="J33" s="2" t="s">
        <v>1014</v>
      </c>
      <c r="K33" s="2"/>
      <c r="L33" s="2" t="s">
        <v>40</v>
      </c>
      <c r="M33" s="2"/>
      <c r="N33" s="2"/>
      <c r="O33" s="2"/>
      <c r="P33" s="2"/>
      <c r="Q33" s="2"/>
      <c r="R33" s="2"/>
      <c r="S33" s="2"/>
      <c r="T33" s="2"/>
      <c r="U33" s="2"/>
      <c r="V33" s="2" t="s">
        <v>53</v>
      </c>
      <c r="W33" s="2"/>
      <c r="X33" s="2"/>
      <c r="Y33" s="2"/>
      <c r="Z33" s="2"/>
      <c r="AA33" s="2"/>
    </row>
    <row r="34" spans="1:27" ht="70.7">
      <c r="A34" s="2" t="s">
        <v>871</v>
      </c>
      <c r="B34" s="2" t="s">
        <v>872</v>
      </c>
      <c r="C34" s="2" t="s">
        <v>233</v>
      </c>
      <c r="D34" s="2" t="s">
        <v>873</v>
      </c>
      <c r="E34" s="2" t="s">
        <v>874</v>
      </c>
      <c r="F34" s="2"/>
      <c r="G34" s="2"/>
      <c r="H34" s="2"/>
      <c r="I34" s="2"/>
      <c r="J34" s="2"/>
      <c r="K34" s="2"/>
      <c r="L34" s="2" t="s">
        <v>1015</v>
      </c>
      <c r="M34" s="2"/>
      <c r="N34" s="2"/>
      <c r="O34" s="2"/>
      <c r="P34" s="2"/>
      <c r="Q34" s="2"/>
      <c r="R34" s="2"/>
      <c r="S34" s="2"/>
      <c r="T34" s="2"/>
      <c r="U34" s="2"/>
      <c r="V34" s="2" t="s">
        <v>964</v>
      </c>
      <c r="W34" s="2"/>
      <c r="X34" s="2"/>
      <c r="Y34" s="2"/>
      <c r="Z34" s="2"/>
      <c r="AA34" s="2"/>
    </row>
    <row r="35" spans="1:27" ht="84.95">
      <c r="A35" s="2" t="s">
        <v>877</v>
      </c>
      <c r="B35" s="2" t="s">
        <v>878</v>
      </c>
      <c r="C35" s="2" t="s">
        <v>233</v>
      </c>
      <c r="D35" s="2" t="s">
        <v>879</v>
      </c>
      <c r="E35" s="2" t="s">
        <v>880</v>
      </c>
      <c r="F35" s="2"/>
      <c r="G35" s="2"/>
      <c r="H35" s="2" t="s">
        <v>60</v>
      </c>
      <c r="I35" s="2"/>
      <c r="J35" s="2"/>
      <c r="K35" s="2"/>
      <c r="L35" s="2" t="s">
        <v>40</v>
      </c>
      <c r="M35" s="2"/>
      <c r="N35" s="2"/>
      <c r="O35" s="2"/>
      <c r="P35" s="2"/>
      <c r="Q35" s="2"/>
      <c r="R35" s="2"/>
      <c r="S35" s="2"/>
      <c r="T35" s="2"/>
      <c r="U35" s="2"/>
      <c r="V35" s="2" t="s">
        <v>53</v>
      </c>
      <c r="W35" s="2"/>
      <c r="X35" s="2"/>
      <c r="Y35" s="2"/>
      <c r="Z35" s="2"/>
      <c r="AA35" s="2"/>
    </row>
    <row r="36" spans="1:27" ht="84.95">
      <c r="A36" s="2" t="s">
        <v>888</v>
      </c>
      <c r="B36" s="2" t="s">
        <v>889</v>
      </c>
      <c r="C36" s="2" t="s">
        <v>233</v>
      </c>
      <c r="D36" s="2" t="s">
        <v>890</v>
      </c>
      <c r="E36" s="2" t="s">
        <v>891</v>
      </c>
      <c r="F36" s="2" t="s">
        <v>955</v>
      </c>
      <c r="G36" s="2"/>
      <c r="H36" s="2" t="s">
        <v>1016</v>
      </c>
      <c r="I36" s="2"/>
      <c r="J36" s="2" t="s">
        <v>1017</v>
      </c>
      <c r="K36" s="2"/>
      <c r="L36" s="2" t="s">
        <v>40</v>
      </c>
      <c r="M36" s="2"/>
      <c r="N36" s="2"/>
      <c r="O36" s="2">
        <v>0.94</v>
      </c>
      <c r="P36" s="2"/>
      <c r="Q36" s="2"/>
      <c r="R36" s="2"/>
      <c r="S36" s="2"/>
      <c r="T36" s="2"/>
      <c r="U36" s="2"/>
      <c r="V36" s="2" t="s">
        <v>53</v>
      </c>
      <c r="W36" s="2"/>
      <c r="X36" s="2"/>
      <c r="Y36" s="2"/>
      <c r="Z36" s="2"/>
      <c r="AA36"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600-000000000000}">
          <x14:formula1>
            <xm:f>Data_Dictionary!$D$2:$D$5</xm:f>
          </x14:formula1>
          <xm:sqref>N2:N36 T2:T36 P2:R36</xm:sqref>
        </x14:dataValidation>
        <x14:dataValidation type="list" xr:uid="{00000000-0002-0000-0600-000003000000}">
          <x14:formula1>
            <xm:f>Data_Dictionary!$E$2:$E$15</xm:f>
          </x14:formula1>
          <xm:sqref>X2:X36</xm:sqref>
        </x14:dataValidation>
        <x14:dataValidation type="list" xr:uid="{00000000-0002-0000-0600-000004000000}">
          <x14:formula1>
            <xm:f>Data_Dictionary!$C$2:$C$4</xm:f>
          </x14:formula1>
          <xm:sqref>Y2:Y36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
  <sheetViews>
    <sheetView workbookViewId="0">
      <selection activeCell="K2" sqref="K2"/>
    </sheetView>
  </sheetViews>
  <sheetFormatPr defaultRowHeight="14.1"/>
  <cols>
    <col min="1" max="1" width="10" customWidth="1"/>
    <col min="2" max="2" width="18" customWidth="1"/>
    <col min="3" max="3" width="25" customWidth="1"/>
    <col min="4" max="4" width="45" customWidth="1"/>
    <col min="5" max="5" width="18" customWidth="1"/>
    <col min="6" max="6" width="22" customWidth="1"/>
    <col min="7" max="7" width="20" customWidth="1"/>
    <col min="8" max="8" width="18" customWidth="1"/>
    <col min="9" max="9" width="30" customWidth="1"/>
    <col min="10" max="10" width="24" customWidth="1"/>
    <col min="11" max="11" width="28" customWidth="1"/>
    <col min="12" max="12" width="30" customWidth="1"/>
    <col min="13" max="14" width="14" customWidth="1"/>
    <col min="15" max="17" width="18" customWidth="1"/>
    <col min="18" max="18" width="50" customWidth="1"/>
  </cols>
  <sheetData>
    <row r="1" spans="1:18" ht="20.65" customHeight="1">
      <c r="A1" s="3" t="s">
        <v>112</v>
      </c>
      <c r="B1" s="3" t="s">
        <v>113</v>
      </c>
      <c r="C1" s="3" t="s">
        <v>116</v>
      </c>
      <c r="D1" s="3" t="s">
        <v>117</v>
      </c>
      <c r="E1" s="3" t="s">
        <v>1018</v>
      </c>
      <c r="F1" s="3" t="s">
        <v>1019</v>
      </c>
      <c r="G1" s="3" t="s">
        <v>1020</v>
      </c>
      <c r="H1" s="3" t="s">
        <v>1021</v>
      </c>
      <c r="I1" s="3" t="s">
        <v>1022</v>
      </c>
      <c r="J1" s="3" t="s">
        <v>1023</v>
      </c>
      <c r="K1" s="3" t="s">
        <v>1024</v>
      </c>
      <c r="L1" s="3" t="s">
        <v>1025</v>
      </c>
      <c r="M1" s="3" t="s">
        <v>1026</v>
      </c>
      <c r="N1" s="3" t="s">
        <v>1027</v>
      </c>
      <c r="O1" s="3" t="s">
        <v>1028</v>
      </c>
      <c r="P1" s="3" t="s">
        <v>1029</v>
      </c>
      <c r="Q1" s="3" t="s">
        <v>1030</v>
      </c>
      <c r="R1" s="3" t="s">
        <v>937</v>
      </c>
    </row>
    <row r="2" spans="1:18" ht="70.7">
      <c r="A2" s="2" t="s">
        <v>282</v>
      </c>
      <c r="B2" s="2" t="s">
        <v>283</v>
      </c>
      <c r="C2" s="2" t="s">
        <v>284</v>
      </c>
      <c r="D2" s="2" t="s">
        <v>285</v>
      </c>
      <c r="E2" s="2" t="str">
        <f>IF(OR(Extraction_R1!N2="",Extraction_R2!N2=""),"Pending",IF(Extraction_R1!N2=Extraction_R2!N2,"Agree","Conflict"))</f>
        <v>Pending</v>
      </c>
      <c r="F2" s="2" t="str">
        <f>IF(OR(Extraction_R1!Q2="",Extraction_R2!Q2=""),"Pending",IF(Extraction_R1!Q2=Extraction_R2!Q2,"Agree","Conflict"))</f>
        <v>Pending</v>
      </c>
      <c r="G2" s="2" t="str">
        <f>IF(OR(Extraction_R1!R2="",Extraction_R2!R2=""),"Pending",IF(Extraction_R1!R2=Extraction_R2!R2,"Agree","Conflict"))</f>
        <v>Pending</v>
      </c>
      <c r="H2" s="2" t="str">
        <f>IF(OR(Extraction_R1!T2="",Extraction_R2!T2=""),"Pending",IF(Extraction_R1!T2=Extraction_R2!T2,"Agree","Conflict"))</f>
        <v>Pending</v>
      </c>
      <c r="I2" s="2" t="str">
        <f t="shared" ref="I2:I36" si="0">_xlfn.SINGLE(_xlfn.TEXTJOIN("; ", TRUE, IF(E2 = "Conflict", "AUC", ""), IF(F2 = "Conflict", "External validation", ""), IF(G2 = "Conflict", "Explainability", ""), IF(H2 = "Conflict", "Repository", "")))</f>
        <v/>
      </c>
      <c r="J2" s="2"/>
      <c r="K2" s="2"/>
      <c r="L2" s="2"/>
      <c r="M2" s="2"/>
      <c r="N2" s="2"/>
      <c r="O2" s="2"/>
      <c r="P2" s="2"/>
      <c r="Q2" s="2"/>
      <c r="R2" s="2"/>
    </row>
    <row r="3" spans="1:18" ht="70.7">
      <c r="A3" s="2" t="s">
        <v>596</v>
      </c>
      <c r="B3" s="2" t="s">
        <v>597</v>
      </c>
      <c r="C3" s="2" t="s">
        <v>598</v>
      </c>
      <c r="D3" s="2" t="s">
        <v>599</v>
      </c>
      <c r="E3" s="2" t="str">
        <f>IF(OR(Extraction_R1!N3="",Extraction_R2!N3=""),"Pending",IF(Extraction_R1!N3=Extraction_R2!N3,"Agree","Conflict"))</f>
        <v>Pending</v>
      </c>
      <c r="F3" s="2" t="str">
        <f>IF(OR(Extraction_R1!Q3="",Extraction_R2!Q3=""),"Pending",IF(Extraction_R1!Q3=Extraction_R2!Q3,"Agree","Conflict"))</f>
        <v>Pending</v>
      </c>
      <c r="G3" s="2" t="str">
        <f>IF(OR(Extraction_R1!R3="",Extraction_R2!R3=""),"Pending",IF(Extraction_R1!R3=Extraction_R2!R3,"Agree","Conflict"))</f>
        <v>Pending</v>
      </c>
      <c r="H3" s="2" t="str">
        <f>IF(OR(Extraction_R1!T3="",Extraction_R2!T3=""),"Pending",IF(Extraction_R1!T3=Extraction_R2!T3,"Agree","Conflict"))</f>
        <v>Pending</v>
      </c>
      <c r="I3" s="2" t="str">
        <f t="shared" si="0"/>
        <v/>
      </c>
      <c r="J3" s="2"/>
      <c r="K3" s="2"/>
      <c r="L3" s="2"/>
      <c r="M3" s="2"/>
      <c r="N3" s="2"/>
      <c r="O3" s="2"/>
      <c r="P3" s="2"/>
      <c r="Q3" s="2"/>
      <c r="R3" s="2"/>
    </row>
    <row r="4" spans="1:18" ht="70.7">
      <c r="A4" s="2" t="s">
        <v>330</v>
      </c>
      <c r="B4" s="2" t="s">
        <v>331</v>
      </c>
      <c r="C4" s="2" t="s">
        <v>332</v>
      </c>
      <c r="D4" s="2" t="s">
        <v>333</v>
      </c>
      <c r="E4" s="2" t="str">
        <f>IF(OR(Extraction_R1!N4="",Extraction_R2!N4=""),"Pending",IF(Extraction_R1!N4=Extraction_R2!N4,"Agree","Conflict"))</f>
        <v>Pending</v>
      </c>
      <c r="F4" s="2" t="str">
        <f>IF(OR(Extraction_R1!Q4="",Extraction_R2!Q4=""),"Pending",IF(Extraction_R1!Q4=Extraction_R2!Q4,"Agree","Conflict"))</f>
        <v>Pending</v>
      </c>
      <c r="G4" s="2" t="str">
        <f>IF(OR(Extraction_R1!R4="",Extraction_R2!R4=""),"Pending",IF(Extraction_R1!R4=Extraction_R2!R4,"Agree","Conflict"))</f>
        <v>Pending</v>
      </c>
      <c r="H4" s="2" t="str">
        <f>IF(OR(Extraction_R1!T4="",Extraction_R2!T4=""),"Pending",IF(Extraction_R1!T4=Extraction_R2!T4,"Agree","Conflict"))</f>
        <v>Pending</v>
      </c>
      <c r="I4" s="2" t="str">
        <f t="shared" si="0"/>
        <v/>
      </c>
      <c r="J4" s="2"/>
      <c r="K4" s="2"/>
      <c r="L4" s="2"/>
      <c r="M4" s="2"/>
      <c r="N4" s="2"/>
      <c r="O4" s="2"/>
      <c r="P4" s="2"/>
      <c r="Q4" s="2"/>
      <c r="R4" s="2"/>
    </row>
    <row r="5" spans="1:18" ht="70.7">
      <c r="A5" s="2" t="s">
        <v>586</v>
      </c>
      <c r="B5" s="2" t="s">
        <v>587</v>
      </c>
      <c r="C5" s="2" t="s">
        <v>588</v>
      </c>
      <c r="D5" s="2" t="s">
        <v>589</v>
      </c>
      <c r="E5" s="2" t="str">
        <f>IF(OR(Extraction_R1!N5="",Extraction_R2!N5=""),"Pending",IF(Extraction_R1!N5=Extraction_R2!N5,"Agree","Conflict"))</f>
        <v>Pending</v>
      </c>
      <c r="F5" s="2" t="str">
        <f>IF(OR(Extraction_R1!Q5="",Extraction_R2!Q5=""),"Pending",IF(Extraction_R1!Q5=Extraction_R2!Q5,"Agree","Conflict"))</f>
        <v>Pending</v>
      </c>
      <c r="G5" s="2" t="str">
        <f>IF(OR(Extraction_R1!R5="",Extraction_R2!R5=""),"Pending",IF(Extraction_R1!R5=Extraction_R2!R5,"Agree","Conflict"))</f>
        <v>Pending</v>
      </c>
      <c r="H5" s="2" t="str">
        <f>IF(OR(Extraction_R1!T5="",Extraction_R2!T5=""),"Pending",IF(Extraction_R1!T5=Extraction_R2!T5,"Agree","Conflict"))</f>
        <v>Pending</v>
      </c>
      <c r="I5" s="2" t="str">
        <f t="shared" si="0"/>
        <v/>
      </c>
      <c r="J5" s="2"/>
      <c r="K5" s="2"/>
      <c r="L5" s="2"/>
      <c r="M5" s="2"/>
      <c r="N5" s="2"/>
      <c r="O5" s="2"/>
      <c r="P5" s="2"/>
      <c r="Q5" s="2"/>
      <c r="R5" s="2"/>
    </row>
    <row r="6" spans="1:18" ht="70.7">
      <c r="A6" s="2" t="s">
        <v>783</v>
      </c>
      <c r="B6" s="2" t="s">
        <v>784</v>
      </c>
      <c r="C6" s="2" t="s">
        <v>785</v>
      </c>
      <c r="D6" s="2" t="s">
        <v>786</v>
      </c>
      <c r="E6" s="2" t="str">
        <f>IF(OR(Extraction_R1!N6="",Extraction_R2!N6=""),"Pending",IF(Extraction_R1!N6=Extraction_R2!N6,"Agree","Conflict"))</f>
        <v>Pending</v>
      </c>
      <c r="F6" s="2" t="str">
        <f>IF(OR(Extraction_R1!Q6="",Extraction_R2!Q6=""),"Pending",IF(Extraction_R1!Q6=Extraction_R2!Q6,"Agree","Conflict"))</f>
        <v>Pending</v>
      </c>
      <c r="G6" s="2" t="str">
        <f>IF(OR(Extraction_R1!R6="",Extraction_R2!R6=""),"Pending",IF(Extraction_R1!R6=Extraction_R2!R6,"Agree","Conflict"))</f>
        <v>Pending</v>
      </c>
      <c r="H6" s="2" t="str">
        <f>IF(OR(Extraction_R1!T6="",Extraction_R2!T6=""),"Pending",IF(Extraction_R1!T6=Extraction_R2!T6,"Agree","Conflict"))</f>
        <v>Pending</v>
      </c>
      <c r="I6" s="2" t="str">
        <f t="shared" si="0"/>
        <v/>
      </c>
      <c r="J6" s="2"/>
      <c r="K6" s="2"/>
      <c r="L6" s="2"/>
      <c r="M6" s="2"/>
      <c r="N6" s="2"/>
      <c r="O6" s="2"/>
      <c r="P6" s="2"/>
      <c r="Q6" s="2"/>
      <c r="R6" s="2"/>
    </row>
    <row r="7" spans="1:18" ht="70.7">
      <c r="A7" s="2" t="s">
        <v>463</v>
      </c>
      <c r="B7" s="2" t="s">
        <v>464</v>
      </c>
      <c r="C7" s="2" t="s">
        <v>465</v>
      </c>
      <c r="D7" s="2" t="s">
        <v>466</v>
      </c>
      <c r="E7" s="2" t="str">
        <f>IF(OR(Extraction_R1!N7="",Extraction_R2!N7=""),"Pending",IF(Extraction_R1!N7=Extraction_R2!N7,"Agree","Conflict"))</f>
        <v>Pending</v>
      </c>
      <c r="F7" s="2" t="str">
        <f>IF(OR(Extraction_R1!Q7="",Extraction_R2!Q7=""),"Pending",IF(Extraction_R1!Q7=Extraction_R2!Q7,"Agree","Conflict"))</f>
        <v>Pending</v>
      </c>
      <c r="G7" s="2" t="str">
        <f>IF(OR(Extraction_R1!R7="",Extraction_R2!R7=""),"Pending",IF(Extraction_R1!R7=Extraction_R2!R7,"Agree","Conflict"))</f>
        <v>Pending</v>
      </c>
      <c r="H7" s="2" t="str">
        <f>IF(OR(Extraction_R1!T7="",Extraction_R2!T7=""),"Pending",IF(Extraction_R1!T7=Extraction_R2!T7,"Agree","Conflict"))</f>
        <v>Pending</v>
      </c>
      <c r="I7" s="2" t="str">
        <f t="shared" si="0"/>
        <v/>
      </c>
      <c r="J7" s="2"/>
      <c r="K7" s="2"/>
      <c r="L7" s="2"/>
      <c r="M7" s="2"/>
      <c r="N7" s="2"/>
      <c r="O7" s="2"/>
      <c r="P7" s="2"/>
      <c r="Q7" s="2"/>
      <c r="R7" s="2"/>
    </row>
    <row r="8" spans="1:18" ht="70.7">
      <c r="A8" s="2" t="s">
        <v>534</v>
      </c>
      <c r="B8" s="2" t="s">
        <v>535</v>
      </c>
      <c r="C8" s="2" t="s">
        <v>536</v>
      </c>
      <c r="D8" s="2" t="s">
        <v>537</v>
      </c>
      <c r="E8" s="2" t="str">
        <f>IF(OR(Extraction_R1!N8="",Extraction_R2!N8=""),"Pending",IF(Extraction_R1!N8=Extraction_R2!N8,"Agree","Conflict"))</f>
        <v>Pending</v>
      </c>
      <c r="F8" s="2" t="str">
        <f>IF(OR(Extraction_R1!Q8="",Extraction_R2!Q8=""),"Pending",IF(Extraction_R1!Q8=Extraction_R2!Q8,"Agree","Conflict"))</f>
        <v>Pending</v>
      </c>
      <c r="G8" s="2" t="str">
        <f>IF(OR(Extraction_R1!R8="",Extraction_R2!R8=""),"Pending",IF(Extraction_R1!R8=Extraction_R2!R8,"Agree","Conflict"))</f>
        <v>Pending</v>
      </c>
      <c r="H8" s="2" t="str">
        <f>IF(OR(Extraction_R1!T8="",Extraction_R2!T8=""),"Pending",IF(Extraction_R1!T8=Extraction_R2!T8,"Agree","Conflict"))</f>
        <v>Pending</v>
      </c>
      <c r="I8" s="2" t="str">
        <f t="shared" si="0"/>
        <v/>
      </c>
      <c r="J8" s="2"/>
      <c r="K8" s="2"/>
      <c r="L8" s="2"/>
      <c r="M8" s="2"/>
      <c r="N8" s="2"/>
      <c r="O8" s="2"/>
      <c r="P8" s="2"/>
      <c r="Q8" s="2"/>
      <c r="R8" s="2"/>
    </row>
    <row r="9" spans="1:18" ht="70.7">
      <c r="A9" s="2" t="s">
        <v>861</v>
      </c>
      <c r="B9" s="2" t="s">
        <v>862</v>
      </c>
      <c r="C9" s="2" t="s">
        <v>863</v>
      </c>
      <c r="D9" s="2" t="s">
        <v>864</v>
      </c>
      <c r="E9" s="2" t="str">
        <f>IF(OR(Extraction_R1!N9="",Extraction_R2!N9=""),"Pending",IF(Extraction_R1!N9=Extraction_R2!N9,"Agree","Conflict"))</f>
        <v>Pending</v>
      </c>
      <c r="F9" s="2" t="str">
        <f>IF(OR(Extraction_R1!Q9="",Extraction_R2!Q9=""),"Pending",IF(Extraction_R1!Q9=Extraction_R2!Q9,"Agree","Conflict"))</f>
        <v>Pending</v>
      </c>
      <c r="G9" s="2" t="str">
        <f>IF(OR(Extraction_R1!R9="",Extraction_R2!R9=""),"Pending",IF(Extraction_R1!R9=Extraction_R2!R9,"Agree","Conflict"))</f>
        <v>Pending</v>
      </c>
      <c r="H9" s="2" t="str">
        <f>IF(OR(Extraction_R1!T9="",Extraction_R2!T9=""),"Pending",IF(Extraction_R1!T9=Extraction_R2!T9,"Agree","Conflict"))</f>
        <v>Pending</v>
      </c>
      <c r="I9" s="2" t="str">
        <f t="shared" si="0"/>
        <v/>
      </c>
      <c r="J9" s="2"/>
      <c r="K9" s="2"/>
      <c r="L9" s="2"/>
      <c r="M9" s="2"/>
      <c r="N9" s="2"/>
      <c r="O9" s="2"/>
      <c r="P9" s="2"/>
      <c r="Q9" s="2"/>
      <c r="R9" s="2"/>
    </row>
    <row r="10" spans="1:18" ht="84.95">
      <c r="A10" s="2" t="s">
        <v>514</v>
      </c>
      <c r="B10" s="2" t="s">
        <v>515</v>
      </c>
      <c r="C10" s="2" t="s">
        <v>516</v>
      </c>
      <c r="D10" s="2" t="s">
        <v>517</v>
      </c>
      <c r="E10" s="2" t="str">
        <f>IF(OR(Extraction_R1!N10="",Extraction_R2!N10=""),"Pending",IF(Extraction_R1!N10=Extraction_R2!N10,"Agree","Conflict"))</f>
        <v>Pending</v>
      </c>
      <c r="F10" s="2" t="str">
        <f>IF(OR(Extraction_R1!Q10="",Extraction_R2!Q10=""),"Pending",IF(Extraction_R1!Q10=Extraction_R2!Q10,"Agree","Conflict"))</f>
        <v>Pending</v>
      </c>
      <c r="G10" s="2" t="str">
        <f>IF(OR(Extraction_R1!R10="",Extraction_R2!R10=""),"Pending",IF(Extraction_R1!R10=Extraction_R2!R10,"Agree","Conflict"))</f>
        <v>Pending</v>
      </c>
      <c r="H10" s="2" t="str">
        <f>IF(OR(Extraction_R1!T10="",Extraction_R2!T10=""),"Pending",IF(Extraction_R1!T10=Extraction_R2!T10,"Agree","Conflict"))</f>
        <v>Pending</v>
      </c>
      <c r="I10" s="2" t="str">
        <f t="shared" si="0"/>
        <v/>
      </c>
      <c r="J10" s="2"/>
      <c r="K10" s="2"/>
      <c r="L10" s="2"/>
      <c r="M10" s="2"/>
      <c r="N10" s="2"/>
      <c r="O10" s="2"/>
      <c r="P10" s="2"/>
      <c r="Q10" s="2"/>
      <c r="R10" s="2"/>
    </row>
    <row r="11" spans="1:18" ht="84.95">
      <c r="A11" s="2" t="s">
        <v>544</v>
      </c>
      <c r="B11" s="2" t="s">
        <v>545</v>
      </c>
      <c r="C11" s="2" t="s">
        <v>546</v>
      </c>
      <c r="D11" s="2" t="s">
        <v>547</v>
      </c>
      <c r="E11" s="2" t="str">
        <f>IF(OR(Extraction_R1!N11="",Extraction_R2!N11=""),"Pending",IF(Extraction_R1!N11=Extraction_R2!N11,"Agree","Conflict"))</f>
        <v>Pending</v>
      </c>
      <c r="F11" s="2" t="str">
        <f>IF(OR(Extraction_R1!Q11="",Extraction_R2!Q11=""),"Pending",IF(Extraction_R1!Q11=Extraction_R2!Q11,"Agree","Conflict"))</f>
        <v>Pending</v>
      </c>
      <c r="G11" s="2" t="str">
        <f>IF(OR(Extraction_R1!R11="",Extraction_R2!R11=""),"Pending",IF(Extraction_R1!R11=Extraction_R2!R11,"Agree","Conflict"))</f>
        <v>Pending</v>
      </c>
      <c r="H11" s="2" t="str">
        <f>IF(OR(Extraction_R1!T11="",Extraction_R2!T11=""),"Pending",IF(Extraction_R1!T11=Extraction_R2!T11,"Agree","Conflict"))</f>
        <v>Pending</v>
      </c>
      <c r="I11" s="2" t="str">
        <f t="shared" si="0"/>
        <v/>
      </c>
      <c r="J11" s="2"/>
      <c r="K11" s="2"/>
      <c r="L11" s="2"/>
      <c r="M11" s="2"/>
      <c r="N11" s="2"/>
      <c r="O11" s="2"/>
      <c r="P11" s="2"/>
      <c r="Q11" s="2"/>
      <c r="R11" s="2"/>
    </row>
    <row r="12" spans="1:18" ht="84.95">
      <c r="A12" s="2" t="s">
        <v>591</v>
      </c>
      <c r="B12" s="2" t="s">
        <v>592</v>
      </c>
      <c r="C12" s="2" t="s">
        <v>593</v>
      </c>
      <c r="D12" s="2" t="s">
        <v>594</v>
      </c>
      <c r="E12" s="2" t="str">
        <f>IF(OR(Extraction_R1!N12="",Extraction_R2!N12=""),"Pending",IF(Extraction_R1!N12=Extraction_R2!N12,"Agree","Conflict"))</f>
        <v>Pending</v>
      </c>
      <c r="F12" s="2" t="str">
        <f>IF(OR(Extraction_R1!Q12="",Extraction_R2!Q12=""),"Pending",IF(Extraction_R1!Q12=Extraction_R2!Q12,"Agree","Conflict"))</f>
        <v>Pending</v>
      </c>
      <c r="G12" s="2" t="str">
        <f>IF(OR(Extraction_R1!R12="",Extraction_R2!R12=""),"Pending",IF(Extraction_R1!R12=Extraction_R2!R12,"Agree","Conflict"))</f>
        <v>Pending</v>
      </c>
      <c r="H12" s="2" t="str">
        <f>IF(OR(Extraction_R1!T12="",Extraction_R2!T12=""),"Pending",IF(Extraction_R1!T12=Extraction_R2!T12,"Agree","Conflict"))</f>
        <v>Pending</v>
      </c>
      <c r="I12" s="2" t="str">
        <f t="shared" si="0"/>
        <v/>
      </c>
      <c r="J12" s="2"/>
      <c r="K12" s="2"/>
      <c r="L12" s="2"/>
      <c r="M12" s="2"/>
      <c r="N12" s="2"/>
      <c r="O12" s="2"/>
      <c r="P12" s="2"/>
      <c r="Q12" s="2"/>
      <c r="R12" s="2"/>
    </row>
    <row r="13" spans="1:18" ht="70.7">
      <c r="A13" s="2" t="s">
        <v>756</v>
      </c>
      <c r="B13" s="2" t="s">
        <v>757</v>
      </c>
      <c r="C13" s="2" t="s">
        <v>758</v>
      </c>
      <c r="D13" s="2" t="s">
        <v>759</v>
      </c>
      <c r="E13" s="2" t="str">
        <f>IF(OR(Extraction_R1!N13="",Extraction_R2!N13=""),"Pending",IF(Extraction_R1!N13=Extraction_R2!N13,"Agree","Conflict"))</f>
        <v>Pending</v>
      </c>
      <c r="F13" s="2" t="str">
        <f>IF(OR(Extraction_R1!Q13="",Extraction_R2!Q13=""),"Pending",IF(Extraction_R1!Q13=Extraction_R2!Q13,"Agree","Conflict"))</f>
        <v>Pending</v>
      </c>
      <c r="G13" s="2" t="str">
        <f>IF(OR(Extraction_R1!R13="",Extraction_R2!R13=""),"Pending",IF(Extraction_R1!R13=Extraction_R2!R13,"Agree","Conflict"))</f>
        <v>Pending</v>
      </c>
      <c r="H13" s="2" t="str">
        <f>IF(OR(Extraction_R1!T13="",Extraction_R2!T13=""),"Pending",IF(Extraction_R1!T13=Extraction_R2!T13,"Agree","Conflict"))</f>
        <v>Pending</v>
      </c>
      <c r="I13" s="2" t="str">
        <f t="shared" si="0"/>
        <v/>
      </c>
      <c r="J13" s="2"/>
      <c r="K13" s="2"/>
      <c r="L13" s="2"/>
      <c r="M13" s="2"/>
      <c r="N13" s="2"/>
      <c r="O13" s="2"/>
      <c r="P13" s="2"/>
      <c r="Q13" s="2"/>
      <c r="R13" s="2"/>
    </row>
    <row r="14" spans="1:18" ht="70.7">
      <c r="A14" s="2" t="s">
        <v>259</v>
      </c>
      <c r="B14" s="2" t="s">
        <v>260</v>
      </c>
      <c r="C14" s="2" t="s">
        <v>261</v>
      </c>
      <c r="D14" s="2" t="s">
        <v>262</v>
      </c>
      <c r="E14" s="2" t="str">
        <f>IF(OR(Extraction_R1!N14="",Extraction_R2!N14=""),"Pending",IF(Extraction_R1!N14=Extraction_R2!N14,"Agree","Conflict"))</f>
        <v>Pending</v>
      </c>
      <c r="F14" s="2" t="str">
        <f>IF(OR(Extraction_R1!Q14="",Extraction_R2!Q14=""),"Pending",IF(Extraction_R1!Q14=Extraction_R2!Q14,"Agree","Conflict"))</f>
        <v>Pending</v>
      </c>
      <c r="G14" s="2" t="str">
        <f>IF(OR(Extraction_R1!R14="",Extraction_R2!R14=""),"Pending",IF(Extraction_R1!R14=Extraction_R2!R14,"Agree","Conflict"))</f>
        <v>Pending</v>
      </c>
      <c r="H14" s="2" t="str">
        <f>IF(OR(Extraction_R1!T14="",Extraction_R2!T14=""),"Pending",IF(Extraction_R1!T14=Extraction_R2!T14,"Agree","Conflict"))</f>
        <v>Pending</v>
      </c>
      <c r="I14" s="2" t="str">
        <f t="shared" si="0"/>
        <v/>
      </c>
      <c r="J14" s="2"/>
      <c r="K14" s="2"/>
      <c r="L14" s="2"/>
      <c r="M14" s="2"/>
      <c r="N14" s="2"/>
      <c r="O14" s="2"/>
      <c r="P14" s="2"/>
      <c r="Q14" s="2"/>
      <c r="R14" s="2"/>
    </row>
    <row r="15" spans="1:18" ht="70.7">
      <c r="A15" s="2" t="s">
        <v>400</v>
      </c>
      <c r="B15" s="2" t="s">
        <v>401</v>
      </c>
      <c r="C15" s="2" t="s">
        <v>402</v>
      </c>
      <c r="D15" s="2" t="s">
        <v>403</v>
      </c>
      <c r="E15" s="2" t="str">
        <f>IF(OR(Extraction_R1!N15="",Extraction_R2!N15=""),"Pending",IF(Extraction_R1!N15=Extraction_R2!N15,"Agree","Conflict"))</f>
        <v>Pending</v>
      </c>
      <c r="F15" s="2" t="str">
        <f>IF(OR(Extraction_R1!Q15="",Extraction_R2!Q15=""),"Pending",IF(Extraction_R1!Q15=Extraction_R2!Q15,"Agree","Conflict"))</f>
        <v>Pending</v>
      </c>
      <c r="G15" s="2" t="str">
        <f>IF(OR(Extraction_R1!R15="",Extraction_R2!R15=""),"Pending",IF(Extraction_R1!R15=Extraction_R2!R15,"Agree","Conflict"))</f>
        <v>Pending</v>
      </c>
      <c r="H15" s="2" t="str">
        <f>IF(OR(Extraction_R1!T15="",Extraction_R2!T15=""),"Pending",IF(Extraction_R1!T15=Extraction_R2!T15,"Agree","Conflict"))</f>
        <v>Pending</v>
      </c>
      <c r="I15" s="2" t="str">
        <f t="shared" si="0"/>
        <v/>
      </c>
      <c r="J15" s="2"/>
      <c r="K15" s="2"/>
      <c r="L15" s="2"/>
      <c r="M15" s="2"/>
      <c r="N15" s="2"/>
      <c r="O15" s="2"/>
      <c r="P15" s="2"/>
      <c r="Q15" s="2"/>
      <c r="R15" s="2"/>
    </row>
    <row r="16" spans="1:18" ht="70.7">
      <c r="A16" s="2" t="s">
        <v>549</v>
      </c>
      <c r="B16" s="2" t="s">
        <v>550</v>
      </c>
      <c r="C16" s="2" t="s">
        <v>551</v>
      </c>
      <c r="D16" s="2" t="s">
        <v>552</v>
      </c>
      <c r="E16" s="2" t="str">
        <f>IF(OR(Extraction_R1!N16="",Extraction_R2!N16=""),"Pending",IF(Extraction_R1!N16=Extraction_R2!N16,"Agree","Conflict"))</f>
        <v>Pending</v>
      </c>
      <c r="F16" s="2" t="str">
        <f>IF(OR(Extraction_R1!Q16="",Extraction_R2!Q16=""),"Pending",IF(Extraction_R1!Q16=Extraction_R2!Q16,"Agree","Conflict"))</f>
        <v>Pending</v>
      </c>
      <c r="G16" s="2" t="str">
        <f>IF(OR(Extraction_R1!R16="",Extraction_R2!R16=""),"Pending",IF(Extraction_R1!R16=Extraction_R2!R16,"Agree","Conflict"))</f>
        <v>Pending</v>
      </c>
      <c r="H16" s="2" t="str">
        <f>IF(OR(Extraction_R1!T16="",Extraction_R2!T16=""),"Pending",IF(Extraction_R1!T16=Extraction_R2!T16,"Agree","Conflict"))</f>
        <v>Pending</v>
      </c>
      <c r="I16" s="2" t="str">
        <f t="shared" si="0"/>
        <v/>
      </c>
      <c r="J16" s="2"/>
      <c r="K16" s="2"/>
      <c r="L16" s="2"/>
      <c r="M16" s="2"/>
      <c r="N16" s="2"/>
      <c r="O16" s="2"/>
      <c r="P16" s="2"/>
      <c r="Q16" s="2"/>
      <c r="R16" s="2"/>
    </row>
    <row r="17" spans="1:18" ht="84.95">
      <c r="A17" s="2" t="s">
        <v>850</v>
      </c>
      <c r="B17" s="2" t="s">
        <v>851</v>
      </c>
      <c r="C17" s="2" t="s">
        <v>852</v>
      </c>
      <c r="D17" s="2" t="s">
        <v>853</v>
      </c>
      <c r="E17" s="2" t="str">
        <f>IF(OR(Extraction_R1!N17="",Extraction_R2!N17=""),"Pending",IF(Extraction_R1!N17=Extraction_R2!N17,"Agree","Conflict"))</f>
        <v>Pending</v>
      </c>
      <c r="F17" s="2" t="str">
        <f>IF(OR(Extraction_R1!Q17="",Extraction_R2!Q17=""),"Pending",IF(Extraction_R1!Q17=Extraction_R2!Q17,"Agree","Conflict"))</f>
        <v>Pending</v>
      </c>
      <c r="G17" s="2" t="str">
        <f>IF(OR(Extraction_R1!R17="",Extraction_R2!R17=""),"Pending",IF(Extraction_R1!R17=Extraction_R2!R17,"Agree","Conflict"))</f>
        <v>Pending</v>
      </c>
      <c r="H17" s="2" t="str">
        <f>IF(OR(Extraction_R1!T17="",Extraction_R2!T17=""),"Pending",IF(Extraction_R1!T17=Extraction_R2!T17,"Agree","Conflict"))</f>
        <v>Pending</v>
      </c>
      <c r="I17" s="2" t="str">
        <f t="shared" si="0"/>
        <v/>
      </c>
      <c r="J17" s="2"/>
      <c r="K17" s="2"/>
      <c r="L17" s="2"/>
      <c r="M17" s="2"/>
      <c r="N17" s="2"/>
      <c r="O17" s="2"/>
      <c r="P17" s="2"/>
      <c r="Q17" s="2"/>
      <c r="R17" s="2"/>
    </row>
    <row r="18" spans="1:18" ht="70.7">
      <c r="A18" s="2" t="s">
        <v>287</v>
      </c>
      <c r="B18" s="2" t="s">
        <v>288</v>
      </c>
      <c r="C18" s="2" t="s">
        <v>289</v>
      </c>
      <c r="D18" s="2" t="s">
        <v>290</v>
      </c>
      <c r="E18" s="2" t="str">
        <f>IF(OR(Extraction_R1!N18="",Extraction_R2!N18=""),"Pending",IF(Extraction_R1!N18=Extraction_R2!N18,"Agree","Conflict"))</f>
        <v>Pending</v>
      </c>
      <c r="F18" s="2" t="str">
        <f>IF(OR(Extraction_R1!Q18="",Extraction_R2!Q18=""),"Pending",IF(Extraction_R1!Q18=Extraction_R2!Q18,"Agree","Conflict"))</f>
        <v>Pending</v>
      </c>
      <c r="G18" s="2" t="str">
        <f>IF(OR(Extraction_R1!R18="",Extraction_R2!R18=""),"Pending",IF(Extraction_R1!R18=Extraction_R2!R18,"Agree","Conflict"))</f>
        <v>Pending</v>
      </c>
      <c r="H18" s="2" t="str">
        <f>IF(OR(Extraction_R1!T18="",Extraction_R2!T18=""),"Pending",IF(Extraction_R1!T18=Extraction_R2!T18,"Agree","Conflict"))</f>
        <v>Pending</v>
      </c>
      <c r="I18" s="2" t="str">
        <f t="shared" si="0"/>
        <v/>
      </c>
      <c r="J18" s="2"/>
      <c r="K18" s="2"/>
      <c r="L18" s="2"/>
      <c r="M18" s="2"/>
      <c r="N18" s="2"/>
      <c r="O18" s="2"/>
      <c r="P18" s="2"/>
      <c r="Q18" s="2"/>
      <c r="R18" s="2"/>
    </row>
    <row r="19" spans="1:18" ht="70.7">
      <c r="A19" s="2" t="s">
        <v>324</v>
      </c>
      <c r="B19" s="2" t="s">
        <v>325</v>
      </c>
      <c r="C19" s="2" t="s">
        <v>326</v>
      </c>
      <c r="D19" s="2" t="s">
        <v>327</v>
      </c>
      <c r="E19" s="2" t="str">
        <f>IF(OR(Extraction_R1!N19="",Extraction_R2!N19=""),"Pending",IF(Extraction_R1!N19=Extraction_R2!N19,"Agree","Conflict"))</f>
        <v>Pending</v>
      </c>
      <c r="F19" s="2" t="str">
        <f>IF(OR(Extraction_R1!Q19="",Extraction_R2!Q19=""),"Pending",IF(Extraction_R1!Q19=Extraction_R2!Q19,"Agree","Conflict"))</f>
        <v>Pending</v>
      </c>
      <c r="G19" s="2" t="str">
        <f>IF(OR(Extraction_R1!R19="",Extraction_R2!R19=""),"Pending",IF(Extraction_R1!R19=Extraction_R2!R19,"Agree","Conflict"))</f>
        <v>Pending</v>
      </c>
      <c r="H19" s="2" t="str">
        <f>IF(OR(Extraction_R1!T19="",Extraction_R2!T19=""),"Pending",IF(Extraction_R1!T19=Extraction_R2!T19,"Agree","Conflict"))</f>
        <v>Pending</v>
      </c>
      <c r="I19" s="2" t="str">
        <f t="shared" si="0"/>
        <v/>
      </c>
      <c r="J19" s="2"/>
      <c r="K19" s="2"/>
      <c r="L19" s="2"/>
      <c r="M19" s="2"/>
      <c r="N19" s="2"/>
      <c r="O19" s="2"/>
      <c r="P19" s="2"/>
      <c r="Q19" s="2"/>
      <c r="R19" s="2"/>
    </row>
    <row r="20" spans="1:18" ht="70.7">
      <c r="A20" s="2" t="s">
        <v>438</v>
      </c>
      <c r="B20" s="2" t="s">
        <v>439</v>
      </c>
      <c r="C20" s="2" t="s">
        <v>440</v>
      </c>
      <c r="D20" s="2" t="s">
        <v>441</v>
      </c>
      <c r="E20" s="2" t="str">
        <f>IF(OR(Extraction_R1!N20="",Extraction_R2!N20=""),"Pending",IF(Extraction_R1!N20=Extraction_R2!N20,"Agree","Conflict"))</f>
        <v>Pending</v>
      </c>
      <c r="F20" s="2" t="str">
        <f>IF(OR(Extraction_R1!Q20="",Extraction_R2!Q20=""),"Pending",IF(Extraction_R1!Q20=Extraction_R2!Q20,"Agree","Conflict"))</f>
        <v>Pending</v>
      </c>
      <c r="G20" s="2" t="str">
        <f>IF(OR(Extraction_R1!R20="",Extraction_R2!R20=""),"Pending",IF(Extraction_R1!R20=Extraction_R2!R20,"Agree","Conflict"))</f>
        <v>Pending</v>
      </c>
      <c r="H20" s="2" t="str">
        <f>IF(OR(Extraction_R1!T20="",Extraction_R2!T20=""),"Pending",IF(Extraction_R1!T20=Extraction_R2!T20,"Agree","Conflict"))</f>
        <v>Pending</v>
      </c>
      <c r="I20" s="2" t="str">
        <f t="shared" si="0"/>
        <v/>
      </c>
      <c r="J20" s="2"/>
      <c r="K20" s="2"/>
      <c r="L20" s="2"/>
      <c r="M20" s="2"/>
      <c r="N20" s="2"/>
      <c r="O20" s="2"/>
      <c r="P20" s="2"/>
      <c r="Q20" s="2"/>
      <c r="R20" s="2"/>
    </row>
    <row r="21" spans="1:18" ht="70.7">
      <c r="A21" s="2" t="s">
        <v>503</v>
      </c>
      <c r="B21" s="2" t="s">
        <v>504</v>
      </c>
      <c r="C21" s="2" t="s">
        <v>505</v>
      </c>
      <c r="D21" s="2" t="s">
        <v>506</v>
      </c>
      <c r="E21" s="2" t="str">
        <f>IF(OR(Extraction_R1!N21="",Extraction_R2!N21=""),"Pending",IF(Extraction_R1!N21=Extraction_R2!N21,"Agree","Conflict"))</f>
        <v>Pending</v>
      </c>
      <c r="F21" s="2" t="str">
        <f>IF(OR(Extraction_R1!Q21="",Extraction_R2!Q21=""),"Pending",IF(Extraction_R1!Q21=Extraction_R2!Q21,"Agree","Conflict"))</f>
        <v>Pending</v>
      </c>
      <c r="G21" s="2" t="str">
        <f>IF(OR(Extraction_R1!R21="",Extraction_R2!R21=""),"Pending",IF(Extraction_R1!R21=Extraction_R2!R21,"Agree","Conflict"))</f>
        <v>Pending</v>
      </c>
      <c r="H21" s="2" t="str">
        <f>IF(OR(Extraction_R1!T21="",Extraction_R2!T21=""),"Pending",IF(Extraction_R1!T21=Extraction_R2!T21,"Agree","Conflict"))</f>
        <v>Pending</v>
      </c>
      <c r="I21" s="2" t="str">
        <f t="shared" si="0"/>
        <v/>
      </c>
      <c r="J21" s="2"/>
      <c r="K21" s="2"/>
      <c r="L21" s="2"/>
      <c r="M21" s="2"/>
      <c r="N21" s="2"/>
      <c r="O21" s="2"/>
      <c r="P21" s="2"/>
      <c r="Q21" s="2"/>
      <c r="R21" s="2"/>
    </row>
    <row r="22" spans="1:18" ht="70.7">
      <c r="A22" s="2" t="s">
        <v>529</v>
      </c>
      <c r="B22" s="2" t="s">
        <v>530</v>
      </c>
      <c r="C22" s="2" t="s">
        <v>531</v>
      </c>
      <c r="D22" s="2" t="s">
        <v>532</v>
      </c>
      <c r="E22" s="2" t="str">
        <f>IF(OR(Extraction_R1!N22="",Extraction_R2!N22=""),"Pending",IF(Extraction_R1!N22=Extraction_R2!N22,"Agree","Conflict"))</f>
        <v>Pending</v>
      </c>
      <c r="F22" s="2" t="str">
        <f>IF(OR(Extraction_R1!Q22="",Extraction_R2!Q22=""),"Pending",IF(Extraction_R1!Q22=Extraction_R2!Q22,"Agree","Conflict"))</f>
        <v>Pending</v>
      </c>
      <c r="G22" s="2" t="str">
        <f>IF(OR(Extraction_R1!R22="",Extraction_R2!R22=""),"Pending",IF(Extraction_R1!R22=Extraction_R2!R22,"Agree","Conflict"))</f>
        <v>Pending</v>
      </c>
      <c r="H22" s="2" t="str">
        <f>IF(OR(Extraction_R1!T22="",Extraction_R2!T22=""),"Pending",IF(Extraction_R1!T22=Extraction_R2!T22,"Agree","Conflict"))</f>
        <v>Pending</v>
      </c>
      <c r="I22" s="2" t="str">
        <f t="shared" si="0"/>
        <v/>
      </c>
      <c r="J22" s="2"/>
      <c r="K22" s="2"/>
      <c r="L22" s="2"/>
      <c r="M22" s="2"/>
      <c r="N22" s="2"/>
      <c r="O22" s="2"/>
      <c r="P22" s="2"/>
      <c r="Q22" s="2"/>
      <c r="R22" s="2"/>
    </row>
    <row r="23" spans="1:18" ht="84.95">
      <c r="A23" s="2" t="s">
        <v>565</v>
      </c>
      <c r="B23" s="2" t="s">
        <v>566</v>
      </c>
      <c r="C23" s="2" t="s">
        <v>567</v>
      </c>
      <c r="D23" s="2" t="s">
        <v>568</v>
      </c>
      <c r="E23" s="2" t="str">
        <f>IF(OR(Extraction_R1!N23="",Extraction_R2!N23=""),"Pending",IF(Extraction_R1!N23=Extraction_R2!N23,"Agree","Conflict"))</f>
        <v>Pending</v>
      </c>
      <c r="F23" s="2" t="str">
        <f>IF(OR(Extraction_R1!Q23="",Extraction_R2!Q23=""),"Pending",IF(Extraction_R1!Q23=Extraction_R2!Q23,"Agree","Conflict"))</f>
        <v>Pending</v>
      </c>
      <c r="G23" s="2" t="str">
        <f>IF(OR(Extraction_R1!R23="",Extraction_R2!R23=""),"Pending",IF(Extraction_R1!R23=Extraction_R2!R23,"Agree","Conflict"))</f>
        <v>Pending</v>
      </c>
      <c r="H23" s="2" t="str">
        <f>IF(OR(Extraction_R1!T23="",Extraction_R2!T23=""),"Pending",IF(Extraction_R1!T23=Extraction_R2!T23,"Agree","Conflict"))</f>
        <v>Pending</v>
      </c>
      <c r="I23" s="2" t="str">
        <f t="shared" si="0"/>
        <v/>
      </c>
      <c r="J23" s="2"/>
      <c r="K23" s="2"/>
      <c r="L23" s="2"/>
      <c r="M23" s="2"/>
      <c r="N23" s="2"/>
      <c r="O23" s="2"/>
      <c r="P23" s="2"/>
      <c r="Q23" s="2"/>
      <c r="R23" s="2"/>
    </row>
    <row r="24" spans="1:18" ht="70.7">
      <c r="A24" s="2" t="s">
        <v>611</v>
      </c>
      <c r="B24" s="2" t="s">
        <v>612</v>
      </c>
      <c r="C24" s="2" t="s">
        <v>613</v>
      </c>
      <c r="D24" s="2" t="s">
        <v>614</v>
      </c>
      <c r="E24" s="2" t="str">
        <f>IF(OR(Extraction_R1!N24="",Extraction_R2!N24=""),"Pending",IF(Extraction_R1!N24=Extraction_R2!N24,"Agree","Conflict"))</f>
        <v>Pending</v>
      </c>
      <c r="F24" s="2" t="str">
        <f>IF(OR(Extraction_R1!Q24="",Extraction_R2!Q24=""),"Pending",IF(Extraction_R1!Q24=Extraction_R2!Q24,"Agree","Conflict"))</f>
        <v>Pending</v>
      </c>
      <c r="G24" s="2" t="str">
        <f>IF(OR(Extraction_R1!R24="",Extraction_R2!R24=""),"Pending",IF(Extraction_R1!R24=Extraction_R2!R24,"Agree","Conflict"))</f>
        <v>Pending</v>
      </c>
      <c r="H24" s="2" t="str">
        <f>IF(OR(Extraction_R1!T24="",Extraction_R2!T24=""),"Pending",IF(Extraction_R1!T24=Extraction_R2!T24,"Agree","Conflict"))</f>
        <v>Pending</v>
      </c>
      <c r="I24" s="2" t="str">
        <f t="shared" si="0"/>
        <v/>
      </c>
      <c r="J24" s="2"/>
      <c r="K24" s="2"/>
      <c r="L24" s="2"/>
      <c r="M24" s="2"/>
      <c r="N24" s="2"/>
      <c r="O24" s="2"/>
      <c r="P24" s="2"/>
      <c r="Q24" s="2"/>
      <c r="R24" s="2"/>
    </row>
    <row r="25" spans="1:18" ht="84.95">
      <c r="A25" s="2" t="s">
        <v>638</v>
      </c>
      <c r="B25" s="2" t="s">
        <v>639</v>
      </c>
      <c r="C25" s="2" t="s">
        <v>640</v>
      </c>
      <c r="D25" s="2" t="s">
        <v>641</v>
      </c>
      <c r="E25" s="2" t="str">
        <f>IF(OR(Extraction_R1!N25="",Extraction_R2!N25=""),"Pending",IF(Extraction_R1!N25=Extraction_R2!N25,"Agree","Conflict"))</f>
        <v>Pending</v>
      </c>
      <c r="F25" s="2" t="str">
        <f>IF(OR(Extraction_R1!Q25="",Extraction_R2!Q25=""),"Pending",IF(Extraction_R1!Q25=Extraction_R2!Q25,"Agree","Conflict"))</f>
        <v>Pending</v>
      </c>
      <c r="G25" s="2" t="str">
        <f>IF(OR(Extraction_R1!R25="",Extraction_R2!R25=""),"Pending",IF(Extraction_R1!R25=Extraction_R2!R25,"Agree","Conflict"))</f>
        <v>Pending</v>
      </c>
      <c r="H25" s="2" t="str">
        <f>IF(OR(Extraction_R1!T25="",Extraction_R2!T25=""),"Pending",IF(Extraction_R1!T25=Extraction_R2!T25,"Agree","Conflict"))</f>
        <v>Pending</v>
      </c>
      <c r="I25" s="2" t="str">
        <f t="shared" si="0"/>
        <v/>
      </c>
      <c r="J25" s="2"/>
      <c r="K25" s="2"/>
      <c r="L25" s="2"/>
      <c r="M25" s="2"/>
      <c r="N25" s="2"/>
      <c r="O25" s="2"/>
      <c r="P25" s="2"/>
      <c r="Q25" s="2"/>
      <c r="R25" s="2"/>
    </row>
    <row r="26" spans="1:18" ht="70.7">
      <c r="A26" s="2" t="s">
        <v>660</v>
      </c>
      <c r="B26" s="2" t="s">
        <v>661</v>
      </c>
      <c r="C26" s="2" t="s">
        <v>662</v>
      </c>
      <c r="D26" s="2" t="s">
        <v>663</v>
      </c>
      <c r="E26" s="2" t="str">
        <f>IF(OR(Extraction_R1!N26="",Extraction_R2!N26=""),"Pending",IF(Extraction_R1!N26=Extraction_R2!N26,"Agree","Conflict"))</f>
        <v>Pending</v>
      </c>
      <c r="F26" s="2" t="str">
        <f>IF(OR(Extraction_R1!Q26="",Extraction_R2!Q26=""),"Pending",IF(Extraction_R1!Q26=Extraction_R2!Q26,"Agree","Conflict"))</f>
        <v>Pending</v>
      </c>
      <c r="G26" s="2" t="str">
        <f>IF(OR(Extraction_R1!R26="",Extraction_R2!R26=""),"Pending",IF(Extraction_R1!R26=Extraction_R2!R26,"Agree","Conflict"))</f>
        <v>Pending</v>
      </c>
      <c r="H26" s="2" t="str">
        <f>IF(OR(Extraction_R1!T26="",Extraction_R2!T26=""),"Pending",IF(Extraction_R1!T26=Extraction_R2!T26,"Agree","Conflict"))</f>
        <v>Pending</v>
      </c>
      <c r="I26" s="2" t="str">
        <f t="shared" si="0"/>
        <v/>
      </c>
      <c r="J26" s="2"/>
      <c r="K26" s="2"/>
      <c r="L26" s="2"/>
      <c r="M26" s="2"/>
      <c r="N26" s="2"/>
      <c r="O26" s="2"/>
      <c r="P26" s="2"/>
      <c r="Q26" s="2"/>
      <c r="R26" s="2"/>
    </row>
    <row r="27" spans="1:18" ht="70.7">
      <c r="A27" s="2" t="s">
        <v>730</v>
      </c>
      <c r="B27" s="2" t="s">
        <v>731</v>
      </c>
      <c r="C27" s="2" t="s">
        <v>732</v>
      </c>
      <c r="D27" s="2" t="s">
        <v>733</v>
      </c>
      <c r="E27" s="2" t="str">
        <f>IF(OR(Extraction_R1!N27="",Extraction_R2!N27=""),"Pending",IF(Extraction_R1!N27=Extraction_R2!N27,"Agree","Conflict"))</f>
        <v>Pending</v>
      </c>
      <c r="F27" s="2" t="str">
        <f>IF(OR(Extraction_R1!Q27="",Extraction_R2!Q27=""),"Pending",IF(Extraction_R1!Q27=Extraction_R2!Q27,"Agree","Conflict"))</f>
        <v>Pending</v>
      </c>
      <c r="G27" s="2" t="str">
        <f>IF(OR(Extraction_R1!R27="",Extraction_R2!R27=""),"Pending",IF(Extraction_R1!R27=Extraction_R2!R27,"Agree","Conflict"))</f>
        <v>Pending</v>
      </c>
      <c r="H27" s="2" t="str">
        <f>IF(OR(Extraction_R1!T27="",Extraction_R2!T27=""),"Pending",IF(Extraction_R1!T27=Extraction_R2!T27,"Agree","Conflict"))</f>
        <v>Pending</v>
      </c>
      <c r="I27" s="2" t="str">
        <f t="shared" si="0"/>
        <v/>
      </c>
      <c r="J27" s="2"/>
      <c r="K27" s="2"/>
      <c r="L27" s="2"/>
      <c r="M27" s="2"/>
      <c r="N27" s="2"/>
      <c r="O27" s="2"/>
      <c r="P27" s="2"/>
      <c r="Q27" s="2"/>
      <c r="R27" s="2"/>
    </row>
    <row r="28" spans="1:18" ht="70.7">
      <c r="A28" s="2" t="s">
        <v>830</v>
      </c>
      <c r="B28" s="2" t="s">
        <v>831</v>
      </c>
      <c r="C28" s="2" t="s">
        <v>832</v>
      </c>
      <c r="D28" s="2" t="s">
        <v>833</v>
      </c>
      <c r="E28" s="2" t="str">
        <f>IF(OR(Extraction_R1!N28="",Extraction_R2!N28=""),"Pending",IF(Extraction_R1!N28=Extraction_R2!N28,"Agree","Conflict"))</f>
        <v>Pending</v>
      </c>
      <c r="F28" s="2" t="str">
        <f>IF(OR(Extraction_R1!Q28="",Extraction_R2!Q28=""),"Pending",IF(Extraction_R1!Q28=Extraction_R2!Q28,"Agree","Conflict"))</f>
        <v>Pending</v>
      </c>
      <c r="G28" s="2" t="str">
        <f>IF(OR(Extraction_R1!R28="",Extraction_R2!R28=""),"Pending",IF(Extraction_R1!R28=Extraction_R2!R28,"Agree","Conflict"))</f>
        <v>Pending</v>
      </c>
      <c r="H28" s="2" t="str">
        <f>IF(OR(Extraction_R1!T28="",Extraction_R2!T28=""),"Pending",IF(Extraction_R1!T28=Extraction_R2!T28,"Agree","Conflict"))</f>
        <v>Pending</v>
      </c>
      <c r="I28" s="2" t="str">
        <f t="shared" si="0"/>
        <v/>
      </c>
      <c r="J28" s="2"/>
      <c r="K28" s="2"/>
      <c r="L28" s="2"/>
      <c r="M28" s="2"/>
      <c r="N28" s="2"/>
      <c r="O28" s="2"/>
      <c r="P28" s="2"/>
      <c r="Q28" s="2"/>
      <c r="R28" s="2"/>
    </row>
    <row r="29" spans="1:18" ht="70.7">
      <c r="A29" s="2" t="s">
        <v>840</v>
      </c>
      <c r="B29" s="2" t="s">
        <v>841</v>
      </c>
      <c r="C29" s="2" t="s">
        <v>842</v>
      </c>
      <c r="D29" s="2" t="s">
        <v>843</v>
      </c>
      <c r="E29" s="2" t="str">
        <f>IF(OR(Extraction_R1!N29="",Extraction_R2!N29=""),"Pending",IF(Extraction_R1!N29=Extraction_R2!N29,"Agree","Conflict"))</f>
        <v>Pending</v>
      </c>
      <c r="F29" s="2" t="str">
        <f>IF(OR(Extraction_R1!Q29="",Extraction_R2!Q29=""),"Pending",IF(Extraction_R1!Q29=Extraction_R2!Q29,"Agree","Conflict"))</f>
        <v>Pending</v>
      </c>
      <c r="G29" s="2" t="str">
        <f>IF(OR(Extraction_R1!R29="",Extraction_R2!R29=""),"Pending",IF(Extraction_R1!R29=Extraction_R2!R29,"Agree","Conflict"))</f>
        <v>Pending</v>
      </c>
      <c r="H29" s="2" t="str">
        <f>IF(OR(Extraction_R1!T29="",Extraction_R2!T29=""),"Pending",IF(Extraction_R1!T29=Extraction_R2!T29,"Agree","Conflict"))</f>
        <v>Pending</v>
      </c>
      <c r="I29" s="2" t="str">
        <f t="shared" si="0"/>
        <v/>
      </c>
      <c r="J29" s="2"/>
      <c r="K29" s="2"/>
      <c r="L29" s="2"/>
      <c r="M29" s="2"/>
      <c r="N29" s="2"/>
      <c r="O29" s="2"/>
      <c r="P29" s="2"/>
      <c r="Q29" s="2"/>
      <c r="R29" s="2"/>
    </row>
    <row r="30" spans="1:18" ht="84.95">
      <c r="A30" s="2" t="s">
        <v>492</v>
      </c>
      <c r="B30" s="2" t="s">
        <v>493</v>
      </c>
      <c r="C30" s="2" t="s">
        <v>494</v>
      </c>
      <c r="D30" s="2" t="s">
        <v>495</v>
      </c>
      <c r="E30" s="2" t="str">
        <f>IF(OR(Extraction_R1!N30="",Extraction_R2!N30=""),"Pending",IF(Extraction_R1!N30=Extraction_R2!N30,"Agree","Conflict"))</f>
        <v>Pending</v>
      </c>
      <c r="F30" s="2" t="str">
        <f>IF(OR(Extraction_R1!Q30="",Extraction_R2!Q30=""),"Pending",IF(Extraction_R1!Q30=Extraction_R2!Q30,"Agree","Conflict"))</f>
        <v>Pending</v>
      </c>
      <c r="G30" s="2" t="str">
        <f>IF(OR(Extraction_R1!R30="",Extraction_R2!R30=""),"Pending",IF(Extraction_R1!R30=Extraction_R2!R30,"Agree","Conflict"))</f>
        <v>Pending</v>
      </c>
      <c r="H30" s="2" t="str">
        <f>IF(OR(Extraction_R1!T30="",Extraction_R2!T30=""),"Pending",IF(Extraction_R1!T30=Extraction_R2!T30,"Agree","Conflict"))</f>
        <v>Pending</v>
      </c>
      <c r="I30" s="2" t="str">
        <f t="shared" si="0"/>
        <v/>
      </c>
      <c r="J30" s="2"/>
      <c r="K30" s="2"/>
      <c r="L30" s="2"/>
      <c r="M30" s="2"/>
      <c r="N30" s="2"/>
      <c r="O30" s="2"/>
      <c r="P30" s="2"/>
      <c r="Q30" s="2"/>
      <c r="R30" s="2"/>
    </row>
    <row r="31" spans="1:18" ht="70.7">
      <c r="A31" s="2" t="s">
        <v>560</v>
      </c>
      <c r="B31" s="2" t="s">
        <v>561</v>
      </c>
      <c r="C31" s="2" t="s">
        <v>562</v>
      </c>
      <c r="D31" s="2" t="s">
        <v>563</v>
      </c>
      <c r="E31" s="2" t="str">
        <f>IF(OR(Extraction_R1!N31="",Extraction_R2!N31=""),"Pending",IF(Extraction_R1!N31=Extraction_R2!N31,"Agree","Conflict"))</f>
        <v>Pending</v>
      </c>
      <c r="F31" s="2" t="str">
        <f>IF(OR(Extraction_R1!Q31="",Extraction_R2!Q31=""),"Pending",IF(Extraction_R1!Q31=Extraction_R2!Q31,"Agree","Conflict"))</f>
        <v>Pending</v>
      </c>
      <c r="G31" s="2" t="str">
        <f>IF(OR(Extraction_R1!R31="",Extraction_R2!R31=""),"Pending",IF(Extraction_R1!R31=Extraction_R2!R31,"Agree","Conflict"))</f>
        <v>Pending</v>
      </c>
      <c r="H31" s="2" t="str">
        <f>IF(OR(Extraction_R1!T31="",Extraction_R2!T31=""),"Pending",IF(Extraction_R1!T31=Extraction_R2!T31,"Agree","Conflict"))</f>
        <v>Pending</v>
      </c>
      <c r="I31" s="2" t="str">
        <f t="shared" si="0"/>
        <v/>
      </c>
      <c r="J31" s="2"/>
      <c r="K31" s="2"/>
      <c r="L31" s="2"/>
      <c r="M31" s="2"/>
      <c r="N31" s="2"/>
      <c r="O31" s="2"/>
      <c r="P31" s="2"/>
      <c r="Q31" s="2"/>
      <c r="R31" s="2"/>
    </row>
    <row r="32" spans="1:18" ht="70.7">
      <c r="A32" s="2" t="s">
        <v>740</v>
      </c>
      <c r="B32" s="2" t="s">
        <v>741</v>
      </c>
      <c r="C32" s="2" t="s">
        <v>742</v>
      </c>
      <c r="D32" s="2" t="s">
        <v>743</v>
      </c>
      <c r="E32" s="2" t="str">
        <f>IF(OR(Extraction_R1!N32="",Extraction_R2!N32=""),"Pending",IF(Extraction_R1!N32=Extraction_R2!N32,"Agree","Conflict"))</f>
        <v>Pending</v>
      </c>
      <c r="F32" s="2" t="str">
        <f>IF(OR(Extraction_R1!Q32="",Extraction_R2!Q32=""),"Pending",IF(Extraction_R1!Q32=Extraction_R2!Q32,"Agree","Conflict"))</f>
        <v>Pending</v>
      </c>
      <c r="G32" s="2" t="str">
        <f>IF(OR(Extraction_R1!R32="",Extraction_R2!R32=""),"Pending",IF(Extraction_R1!R32=Extraction_R2!R32,"Agree","Conflict"))</f>
        <v>Pending</v>
      </c>
      <c r="H32" s="2" t="str">
        <f>IF(OR(Extraction_R1!T32="",Extraction_R2!T32=""),"Pending",IF(Extraction_R1!T32=Extraction_R2!T32,"Agree","Conflict"))</f>
        <v>Pending</v>
      </c>
      <c r="I32" s="2" t="str">
        <f t="shared" si="0"/>
        <v/>
      </c>
      <c r="J32" s="2"/>
      <c r="K32" s="2"/>
      <c r="L32" s="2"/>
      <c r="M32" s="2"/>
      <c r="N32" s="2"/>
      <c r="O32" s="2"/>
      <c r="P32" s="2"/>
      <c r="Q32" s="2"/>
      <c r="R32" s="2"/>
    </row>
    <row r="33" spans="1:18" ht="84.95">
      <c r="A33" s="2" t="s">
        <v>825</v>
      </c>
      <c r="B33" s="2" t="s">
        <v>826</v>
      </c>
      <c r="C33" s="2" t="s">
        <v>827</v>
      </c>
      <c r="D33" s="2" t="s">
        <v>828</v>
      </c>
      <c r="E33" s="2" t="str">
        <f>IF(OR(Extraction_R1!N33="",Extraction_R2!N33=""),"Pending",IF(Extraction_R1!N33=Extraction_R2!N33,"Agree","Conflict"))</f>
        <v>Pending</v>
      </c>
      <c r="F33" s="2" t="str">
        <f>IF(OR(Extraction_R1!Q33="",Extraction_R2!Q33=""),"Pending",IF(Extraction_R1!Q33=Extraction_R2!Q33,"Agree","Conflict"))</f>
        <v>Pending</v>
      </c>
      <c r="G33" s="2" t="str">
        <f>IF(OR(Extraction_R1!R33="",Extraction_R2!R33=""),"Pending",IF(Extraction_R1!R33=Extraction_R2!R33,"Agree","Conflict"))</f>
        <v>Pending</v>
      </c>
      <c r="H33" s="2" t="str">
        <f>IF(OR(Extraction_R1!T33="",Extraction_R2!T33=""),"Pending",IF(Extraction_R1!T33=Extraction_R2!T33,"Agree","Conflict"))</f>
        <v>Pending</v>
      </c>
      <c r="I33" s="2" t="str">
        <f t="shared" si="0"/>
        <v/>
      </c>
      <c r="J33" s="2"/>
      <c r="K33" s="2"/>
      <c r="L33" s="2"/>
      <c r="M33" s="2"/>
      <c r="N33" s="2"/>
      <c r="O33" s="2"/>
      <c r="P33" s="2"/>
      <c r="Q33" s="2"/>
      <c r="R33" s="2"/>
    </row>
    <row r="34" spans="1:18" ht="70.7">
      <c r="A34" s="2" t="s">
        <v>871</v>
      </c>
      <c r="B34" s="2" t="s">
        <v>872</v>
      </c>
      <c r="C34" s="2" t="s">
        <v>873</v>
      </c>
      <c r="D34" s="2" t="s">
        <v>874</v>
      </c>
      <c r="E34" s="2" t="str">
        <f>IF(OR(Extraction_R1!N34="",Extraction_R2!N34=""),"Pending",IF(Extraction_R1!N34=Extraction_R2!N34,"Agree","Conflict"))</f>
        <v>Pending</v>
      </c>
      <c r="F34" s="2" t="str">
        <f>IF(OR(Extraction_R1!Q34="",Extraction_R2!Q34=""),"Pending",IF(Extraction_R1!Q34=Extraction_R2!Q34,"Agree","Conflict"))</f>
        <v>Pending</v>
      </c>
      <c r="G34" s="2" t="str">
        <f>IF(OR(Extraction_R1!R34="",Extraction_R2!R34=""),"Pending",IF(Extraction_R1!R34=Extraction_R2!R34,"Agree","Conflict"))</f>
        <v>Pending</v>
      </c>
      <c r="H34" s="2" t="str">
        <f>IF(OR(Extraction_R1!T34="",Extraction_R2!T34=""),"Pending",IF(Extraction_R1!T34=Extraction_R2!T34,"Agree","Conflict"))</f>
        <v>Pending</v>
      </c>
      <c r="I34" s="2" t="str">
        <f t="shared" si="0"/>
        <v/>
      </c>
      <c r="J34" s="2"/>
      <c r="K34" s="2"/>
      <c r="L34" s="2"/>
      <c r="M34" s="2"/>
      <c r="N34" s="2"/>
      <c r="O34" s="2"/>
      <c r="P34" s="2"/>
      <c r="Q34" s="2"/>
      <c r="R34" s="2"/>
    </row>
    <row r="35" spans="1:18" ht="84.95">
      <c r="A35" s="2" t="s">
        <v>877</v>
      </c>
      <c r="B35" s="2" t="s">
        <v>878</v>
      </c>
      <c r="C35" s="2" t="s">
        <v>879</v>
      </c>
      <c r="D35" s="2" t="s">
        <v>880</v>
      </c>
      <c r="E35" s="2" t="str">
        <f>IF(OR(Extraction_R1!N35="",Extraction_R2!N35=""),"Pending",IF(Extraction_R1!N35=Extraction_R2!N35,"Agree","Conflict"))</f>
        <v>Pending</v>
      </c>
      <c r="F35" s="2" t="str">
        <f>IF(OR(Extraction_R1!Q35="",Extraction_R2!Q35=""),"Pending",IF(Extraction_R1!Q35=Extraction_R2!Q35,"Agree","Conflict"))</f>
        <v>Pending</v>
      </c>
      <c r="G35" s="2" t="str">
        <f>IF(OR(Extraction_R1!R35="",Extraction_R2!R35=""),"Pending",IF(Extraction_R1!R35=Extraction_R2!R35,"Agree","Conflict"))</f>
        <v>Pending</v>
      </c>
      <c r="H35" s="2" t="str">
        <f>IF(OR(Extraction_R1!T35="",Extraction_R2!T35=""),"Pending",IF(Extraction_R1!T35=Extraction_R2!T35,"Agree","Conflict"))</f>
        <v>Pending</v>
      </c>
      <c r="I35" s="2" t="str">
        <f t="shared" si="0"/>
        <v/>
      </c>
      <c r="J35" s="2"/>
      <c r="K35" s="2"/>
      <c r="L35" s="2"/>
      <c r="M35" s="2"/>
      <c r="N35" s="2"/>
      <c r="O35" s="2"/>
      <c r="P35" s="2"/>
      <c r="Q35" s="2"/>
      <c r="R35" s="2"/>
    </row>
    <row r="36" spans="1:18" ht="84.95">
      <c r="A36" s="2" t="s">
        <v>888</v>
      </c>
      <c r="B36" s="2" t="s">
        <v>889</v>
      </c>
      <c r="C36" s="2" t="s">
        <v>890</v>
      </c>
      <c r="D36" s="2" t="s">
        <v>891</v>
      </c>
      <c r="E36" s="2" t="str">
        <f>IF(OR(Extraction_R1!N36="",Extraction_R2!N36=""),"Pending",IF(Extraction_R1!N36=Extraction_R2!N36,"Agree","Conflict"))</f>
        <v>Pending</v>
      </c>
      <c r="F36" s="2" t="str">
        <f>IF(OR(Extraction_R1!Q36="",Extraction_R2!Q36=""),"Pending",IF(Extraction_R1!Q36=Extraction_R2!Q36,"Agree","Conflict"))</f>
        <v>Pending</v>
      </c>
      <c r="G36" s="2" t="str">
        <f>IF(OR(Extraction_R1!R36="",Extraction_R2!R36=""),"Pending",IF(Extraction_R1!R36=Extraction_R2!R36,"Agree","Conflict"))</f>
        <v>Pending</v>
      </c>
      <c r="H36" s="2" t="str">
        <f>IF(OR(Extraction_R1!T36="",Extraction_R2!T36=""),"Pending",IF(Extraction_R1!T36=Extraction_R2!T36,"Agree","Conflict"))</f>
        <v>Pending</v>
      </c>
      <c r="I36" s="2" t="str">
        <f t="shared" si="0"/>
        <v/>
      </c>
      <c r="J36" s="2"/>
      <c r="K36" s="2"/>
      <c r="L36" s="2"/>
      <c r="M36" s="2"/>
      <c r="N36" s="2"/>
      <c r="O36" s="2"/>
      <c r="P36" s="2"/>
      <c r="Q36" s="2"/>
      <c r="R36"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800-000000000000}">
          <x14:formula1>
            <xm:f>Data_Dictionary!$D$2:$D$5</xm:f>
          </x14:formula1>
          <xm:sqref>M2:M36 O2:Q36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
  <sheetViews>
    <sheetView workbookViewId="0">
      <selection activeCell="A15" sqref="A15"/>
    </sheetView>
  </sheetViews>
  <sheetFormatPr defaultRowHeight="14.1"/>
  <cols>
    <col min="1" max="1" width="34" customWidth="1"/>
    <col min="2" max="2" width="18" customWidth="1"/>
    <col min="3" max="3" width="70" customWidth="1"/>
    <col min="5" max="5" width="18" customWidth="1"/>
    <col min="6" max="6" width="70" customWidth="1"/>
  </cols>
  <sheetData>
    <row r="1" spans="1:8" ht="17.649999999999999">
      <c r="A1" s="14" t="s">
        <v>1031</v>
      </c>
      <c r="B1" s="16"/>
      <c r="C1" s="16"/>
      <c r="D1" s="16"/>
      <c r="E1" s="16"/>
      <c r="F1" s="16"/>
      <c r="G1" s="16"/>
      <c r="H1" s="16"/>
    </row>
    <row r="3" spans="1:8">
      <c r="A3" s="1" t="s">
        <v>1032</v>
      </c>
      <c r="B3" s="1">
        <f>COUNTA(Eligibility_Consensus!A2:A146)</f>
        <v>145</v>
      </c>
      <c r="C3" s="1" t="s">
        <v>1033</v>
      </c>
      <c r="E3" s="15" t="s">
        <v>1034</v>
      </c>
      <c r="F3" s="16"/>
      <c r="G3" s="16"/>
      <c r="H3" s="16"/>
    </row>
    <row r="4" spans="1:8" ht="28.35">
      <c r="A4" s="5" t="s">
        <v>1035</v>
      </c>
      <c r="B4">
        <f>COUNTIF(Eligibility_R1!I2:I146,"Include")+COUNTIF(Eligibility_R1!I2:I146,"Exclude")+COUNTIF(Eligibility_R1!I2:I146,"Unclear")</f>
        <v>144</v>
      </c>
      <c r="E4" s="1" t="s">
        <v>1036</v>
      </c>
      <c r="F4" s="2" t="s">
        <v>1037</v>
      </c>
    </row>
    <row r="5" spans="1:8">
      <c r="A5" s="5" t="s">
        <v>1038</v>
      </c>
      <c r="B5">
        <f>COUNTIF(Eligibility_R2!I2:I146,"Include")+COUNTIF(Eligibility_R2!I2:I146,"Exclude")+COUNTIF(Eligibility_R2!I2:I146,"Unclear")</f>
        <v>144</v>
      </c>
      <c r="E5" s="1" t="s">
        <v>1039</v>
      </c>
      <c r="F5" s="2" t="s">
        <v>1040</v>
      </c>
    </row>
    <row r="6" spans="1:8" ht="28.35">
      <c r="A6" s="5" t="s">
        <v>1041</v>
      </c>
      <c r="B6">
        <f>COUNTIF(Eligibility_Consensus!H2:H146,"Agree")+COUNTIF(Eligibility_Consensus!H2:H146,"Conflict")</f>
        <v>145</v>
      </c>
      <c r="E6" s="1" t="s">
        <v>1042</v>
      </c>
      <c r="F6" s="2" t="s">
        <v>1043</v>
      </c>
    </row>
    <row r="7" spans="1:8" ht="28.35">
      <c r="A7" s="5" t="s">
        <v>1044</v>
      </c>
      <c r="B7" s="6">
        <f>COUNTIF(Eligibility_Consensus!H2:H146,"Agree")</f>
        <v>130</v>
      </c>
      <c r="E7" s="1" t="s">
        <v>1045</v>
      </c>
      <c r="F7" s="2" t="s">
        <v>1046</v>
      </c>
    </row>
    <row r="8" spans="1:8">
      <c r="A8" s="5" t="s">
        <v>1047</v>
      </c>
      <c r="B8">
        <f>COUNTIF(Eligibility_Consensus!H2:H146,"Conflict")</f>
        <v>15</v>
      </c>
    </row>
    <row r="9" spans="1:8">
      <c r="A9" s="5" t="s">
        <v>1048</v>
      </c>
      <c r="B9">
        <f>IF(B6=0,"",B7/B6)</f>
        <v>0.89655172413793105</v>
      </c>
      <c r="C9" t="s">
        <v>1049</v>
      </c>
    </row>
    <row r="10" spans="1:8">
      <c r="A10" s="5" t="s">
        <v>1050</v>
      </c>
      <c r="B10">
        <f>COUNTIF(Eligibility_R1!I2:I146,"Include")</f>
        <v>32</v>
      </c>
    </row>
    <row r="11" spans="1:8">
      <c r="A11" s="5" t="s">
        <v>1051</v>
      </c>
      <c r="B11">
        <f>COUNTIF(Eligibility_R1!I2:I146,"Exclude")</f>
        <v>112</v>
      </c>
    </row>
    <row r="12" spans="1:8">
      <c r="A12" s="5" t="s">
        <v>1052</v>
      </c>
      <c r="B12" s="6">
        <f>COUNTIF(Eligibility_R2!I2:I146,"Include")</f>
        <v>35</v>
      </c>
    </row>
    <row r="13" spans="1:8">
      <c r="A13" s="5" t="s">
        <v>1053</v>
      </c>
      <c r="B13" s="7">
        <f>COUNTIF(Eligibility_R2!I2:I146,"Exclude")</f>
        <v>108</v>
      </c>
    </row>
    <row r="14" spans="1:8">
      <c r="A14" s="5" t="s">
        <v>1054</v>
      </c>
      <c r="B14">
        <f>IF(B6=0,"",((B10/B6)*(B12/B6))+((B11/B6)*(B13/B6)))</f>
        <v>0.6285850178359097</v>
      </c>
      <c r="C14" t="s">
        <v>1055</v>
      </c>
    </row>
    <row r="15" spans="1:8">
      <c r="A15" s="5" t="s">
        <v>1056</v>
      </c>
      <c r="B15">
        <f>IF(OR(B14="",B14=1),"",(B9-B14)/(1-B14))</f>
        <v>0.72147522089896277</v>
      </c>
      <c r="C15" t="s">
        <v>1057</v>
      </c>
    </row>
    <row r="16" spans="1:8">
      <c r="A16" s="5" t="s">
        <v>1058</v>
      </c>
      <c r="B16">
        <f>COUNTA(Extraction_Consensus!A2:A36)</f>
        <v>35</v>
      </c>
      <c r="C16" t="s">
        <v>1059</v>
      </c>
    </row>
    <row r="17" spans="1:2">
      <c r="A17" s="5" t="s">
        <v>1060</v>
      </c>
      <c r="B17">
        <f>COUNTIF(Extraction_Consensus!E2:E36,"Conflict")</f>
        <v>0</v>
      </c>
    </row>
    <row r="18" spans="1:2">
      <c r="A18" s="5" t="s">
        <v>1061</v>
      </c>
      <c r="B18">
        <f>COUNTIF(Extraction_Consensus!F2:F36,"Conflict")</f>
        <v>0</v>
      </c>
    </row>
    <row r="19" spans="1:2">
      <c r="A19" s="5" t="s">
        <v>1062</v>
      </c>
      <c r="B19">
        <f>COUNTIF(Extraction_Consensus!G2:G36,"Conflict")</f>
        <v>0</v>
      </c>
    </row>
    <row r="20" spans="1:2">
      <c r="A20" s="5" t="s">
        <v>1063</v>
      </c>
      <c r="B20">
        <f>COUNTIF(Extraction_Consensus!H2:H36,"Conflict")</f>
        <v>0</v>
      </c>
    </row>
  </sheetData>
  <mergeCells count="2">
    <mergeCell ref="A1:H1"/>
    <mergeCell ref="E3:H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36"/>
  <sheetViews>
    <sheetView topLeftCell="F1" workbookViewId="0">
      <selection activeCell="A2" sqref="A2"/>
    </sheetView>
  </sheetViews>
  <sheetFormatPr defaultRowHeight="14.1"/>
  <cols>
    <col min="1" max="1" width="10" customWidth="1"/>
    <col min="2" max="2" width="18" customWidth="1"/>
    <col min="3" max="3" width="8" customWidth="1"/>
    <col min="4" max="4" width="25" customWidth="1"/>
    <col min="5" max="5" width="45" customWidth="1"/>
    <col min="6" max="7" width="24" customWidth="1"/>
    <col min="8" max="9" width="28" customWidth="1"/>
    <col min="10" max="11" width="45" customWidth="1"/>
    <col min="12" max="13" width="32" customWidth="1"/>
    <col min="14" max="14" width="14" customWidth="1"/>
    <col min="15" max="15" width="12" customWidth="1"/>
    <col min="16" max="16" width="14" customWidth="1"/>
    <col min="17" max="18" width="18" customWidth="1"/>
    <col min="19" max="19" width="28" customWidth="1"/>
    <col min="20" max="20" width="22" customWidth="1"/>
    <col min="21" max="21" width="26" customWidth="1"/>
    <col min="22" max="22" width="20" customWidth="1"/>
    <col min="23" max="24" width="22" customWidth="1"/>
    <col min="25" max="25" width="12" customWidth="1"/>
    <col min="26" max="26" width="14" customWidth="1"/>
    <col min="27" max="27" width="50" customWidth="1"/>
  </cols>
  <sheetData>
    <row r="1" spans="1:27" ht="20.65" customHeight="1">
      <c r="A1" s="3" t="s">
        <v>112</v>
      </c>
      <c r="B1" s="3" t="s">
        <v>113</v>
      </c>
      <c r="C1" s="3" t="s">
        <v>114</v>
      </c>
      <c r="D1" s="3" t="s">
        <v>116</v>
      </c>
      <c r="E1" s="3" t="s">
        <v>117</v>
      </c>
      <c r="F1" s="3" t="s">
        <v>938</v>
      </c>
      <c r="G1" s="3" t="s">
        <v>939</v>
      </c>
      <c r="H1" s="3" t="s">
        <v>940</v>
      </c>
      <c r="I1" s="3" t="s">
        <v>941</v>
      </c>
      <c r="J1" s="3" t="s">
        <v>942</v>
      </c>
      <c r="K1" s="3" t="s">
        <v>943</v>
      </c>
      <c r="L1" s="3" t="s">
        <v>944</v>
      </c>
      <c r="M1" s="3" t="s">
        <v>945</v>
      </c>
      <c r="N1" s="3" t="s">
        <v>946</v>
      </c>
      <c r="O1" s="3" t="s">
        <v>947</v>
      </c>
      <c r="P1" s="3" t="s">
        <v>948</v>
      </c>
      <c r="Q1" s="3" t="s">
        <v>949</v>
      </c>
      <c r="R1" s="3" t="s">
        <v>950</v>
      </c>
      <c r="S1" s="3" t="s">
        <v>951</v>
      </c>
      <c r="T1" s="3" t="s">
        <v>952</v>
      </c>
      <c r="U1" s="3" t="s">
        <v>953</v>
      </c>
      <c r="V1" s="3" t="s">
        <v>87</v>
      </c>
      <c r="W1" s="3" t="s">
        <v>88</v>
      </c>
      <c r="X1" s="3" t="s">
        <v>954</v>
      </c>
      <c r="Y1" s="3" t="s">
        <v>28</v>
      </c>
      <c r="Z1" s="3" t="s">
        <v>124</v>
      </c>
      <c r="AA1" s="3" t="s">
        <v>125</v>
      </c>
    </row>
    <row r="2" spans="1:27" ht="70.7">
      <c r="A2" s="2" t="s">
        <v>282</v>
      </c>
      <c r="B2" s="2" t="s">
        <v>283</v>
      </c>
      <c r="C2" s="2" t="s">
        <v>135</v>
      </c>
      <c r="D2" s="2" t="s">
        <v>284</v>
      </c>
      <c r="E2" s="2" t="s">
        <v>285</v>
      </c>
      <c r="F2" s="2" t="s">
        <v>955</v>
      </c>
      <c r="G2" s="2"/>
      <c r="H2" s="2" t="s">
        <v>956</v>
      </c>
      <c r="I2" s="2"/>
      <c r="J2" s="2" t="s">
        <v>957</v>
      </c>
      <c r="K2" s="2"/>
      <c r="L2" s="2"/>
      <c r="M2" s="2"/>
      <c r="N2" s="2"/>
      <c r="O2" s="2"/>
      <c r="P2" s="2"/>
      <c r="Q2" s="2"/>
      <c r="R2" s="2"/>
      <c r="S2" s="2"/>
      <c r="T2" s="2"/>
      <c r="U2" s="2"/>
      <c r="V2" s="2" t="s">
        <v>53</v>
      </c>
      <c r="W2" s="2"/>
      <c r="X2" s="2"/>
      <c r="Y2" s="2"/>
      <c r="Z2" s="2"/>
      <c r="AA2" s="2"/>
    </row>
    <row r="3" spans="1:27" ht="70.7">
      <c r="A3" s="2" t="s">
        <v>596</v>
      </c>
      <c r="B3" s="2" t="s">
        <v>597</v>
      </c>
      <c r="C3" s="2" t="s">
        <v>141</v>
      </c>
      <c r="D3" s="2" t="s">
        <v>598</v>
      </c>
      <c r="E3" s="2" t="s">
        <v>599</v>
      </c>
      <c r="F3" s="2" t="s">
        <v>955</v>
      </c>
      <c r="G3" s="2"/>
      <c r="H3" s="2" t="s">
        <v>79</v>
      </c>
      <c r="I3" s="2"/>
      <c r="J3" s="2"/>
      <c r="K3" s="2"/>
      <c r="L3" s="2" t="s">
        <v>958</v>
      </c>
      <c r="M3" s="2"/>
      <c r="N3" s="2"/>
      <c r="O3" s="2"/>
      <c r="P3" s="2"/>
      <c r="Q3" s="2"/>
      <c r="R3" s="2"/>
      <c r="S3" s="2"/>
      <c r="T3" s="2"/>
      <c r="U3" s="2"/>
      <c r="V3" s="2" t="s">
        <v>53</v>
      </c>
      <c r="W3" s="2"/>
      <c r="X3" s="2"/>
      <c r="Y3" s="2"/>
      <c r="Z3" s="2"/>
      <c r="AA3" s="2"/>
    </row>
    <row r="4" spans="1:27" ht="70.7">
      <c r="A4" s="2" t="s">
        <v>330</v>
      </c>
      <c r="B4" s="2" t="s">
        <v>331</v>
      </c>
      <c r="C4" s="2" t="s">
        <v>152</v>
      </c>
      <c r="D4" s="2" t="s">
        <v>332</v>
      </c>
      <c r="E4" s="2" t="s">
        <v>333</v>
      </c>
      <c r="F4" s="2" t="s">
        <v>955</v>
      </c>
      <c r="G4" s="2"/>
      <c r="H4" s="2"/>
      <c r="I4" s="2"/>
      <c r="J4" s="2" t="s">
        <v>959</v>
      </c>
      <c r="K4" s="2"/>
      <c r="L4" s="2" t="s">
        <v>76</v>
      </c>
      <c r="M4" s="2"/>
      <c r="N4" s="2"/>
      <c r="O4" s="2"/>
      <c r="P4" s="2"/>
      <c r="Q4" s="2"/>
      <c r="R4" s="2"/>
      <c r="S4" s="2"/>
      <c r="T4" s="2"/>
      <c r="U4" s="2"/>
      <c r="V4" s="2" t="s">
        <v>53</v>
      </c>
      <c r="W4" s="2"/>
      <c r="X4" s="2"/>
      <c r="Y4" s="2"/>
      <c r="Z4" s="2"/>
      <c r="AA4" s="2"/>
    </row>
    <row r="5" spans="1:27" ht="70.7">
      <c r="A5" s="2" t="s">
        <v>586</v>
      </c>
      <c r="B5" s="2" t="s">
        <v>587</v>
      </c>
      <c r="C5" s="2" t="s">
        <v>152</v>
      </c>
      <c r="D5" s="2" t="s">
        <v>588</v>
      </c>
      <c r="E5" s="2" t="s">
        <v>589</v>
      </c>
      <c r="F5" s="2" t="s">
        <v>960</v>
      </c>
      <c r="G5" s="2"/>
      <c r="H5" s="2" t="s">
        <v>961</v>
      </c>
      <c r="I5" s="2"/>
      <c r="J5" s="2" t="s">
        <v>962</v>
      </c>
      <c r="K5" s="2"/>
      <c r="L5" s="2" t="s">
        <v>963</v>
      </c>
      <c r="M5" s="2"/>
      <c r="N5" s="2"/>
      <c r="O5" s="2">
        <v>0.79</v>
      </c>
      <c r="P5" s="2"/>
      <c r="Q5" s="2"/>
      <c r="R5" s="2"/>
      <c r="S5" s="2"/>
      <c r="T5" s="2"/>
      <c r="U5" s="2"/>
      <c r="V5" s="2" t="s">
        <v>964</v>
      </c>
      <c r="W5" s="2"/>
      <c r="X5" s="2"/>
      <c r="Y5" s="2"/>
      <c r="Z5" s="2"/>
      <c r="AA5" s="2"/>
    </row>
    <row r="6" spans="1:27" ht="70.7">
      <c r="A6" s="2" t="s">
        <v>783</v>
      </c>
      <c r="B6" s="2" t="s">
        <v>784</v>
      </c>
      <c r="C6" s="2" t="s">
        <v>152</v>
      </c>
      <c r="D6" s="2" t="s">
        <v>785</v>
      </c>
      <c r="E6" s="2" t="s">
        <v>786</v>
      </c>
      <c r="F6" s="2" t="s">
        <v>955</v>
      </c>
      <c r="G6" s="2"/>
      <c r="H6" s="2" t="s">
        <v>965</v>
      </c>
      <c r="I6" s="2"/>
      <c r="J6" s="2" t="s">
        <v>966</v>
      </c>
      <c r="K6" s="2"/>
      <c r="L6" s="2"/>
      <c r="M6" s="2"/>
      <c r="N6" s="2"/>
      <c r="O6" s="2"/>
      <c r="P6" s="2"/>
      <c r="Q6" s="2"/>
      <c r="R6" s="2"/>
      <c r="S6" s="2"/>
      <c r="T6" s="2"/>
      <c r="U6" s="2"/>
      <c r="V6" s="2" t="s">
        <v>53</v>
      </c>
      <c r="W6" s="2"/>
      <c r="X6" s="2"/>
      <c r="Y6" s="2"/>
      <c r="Z6" s="2"/>
      <c r="AA6" s="2"/>
    </row>
    <row r="7" spans="1:27" ht="70.7">
      <c r="A7" s="2" t="s">
        <v>463</v>
      </c>
      <c r="B7" s="2" t="s">
        <v>464</v>
      </c>
      <c r="C7" s="2" t="s">
        <v>157</v>
      </c>
      <c r="D7" s="2" t="s">
        <v>465</v>
      </c>
      <c r="E7" s="2" t="s">
        <v>466</v>
      </c>
      <c r="F7" s="2" t="s">
        <v>967</v>
      </c>
      <c r="G7" s="2"/>
      <c r="H7" s="2"/>
      <c r="I7" s="2"/>
      <c r="J7" s="2"/>
      <c r="K7" s="2"/>
      <c r="L7" s="2" t="s">
        <v>40</v>
      </c>
      <c r="M7" s="2"/>
      <c r="N7" s="2"/>
      <c r="O7" s="2">
        <v>0.81</v>
      </c>
      <c r="P7" s="2"/>
      <c r="Q7" s="2"/>
      <c r="R7" s="2"/>
      <c r="S7" s="2"/>
      <c r="T7" s="2"/>
      <c r="U7" s="2"/>
      <c r="V7" s="2" t="s">
        <v>968</v>
      </c>
      <c r="W7" s="2"/>
      <c r="X7" s="2"/>
      <c r="Y7" s="2"/>
      <c r="Z7" s="2"/>
      <c r="AA7" s="2"/>
    </row>
    <row r="8" spans="1:27" ht="70.7">
      <c r="A8" s="2" t="s">
        <v>534</v>
      </c>
      <c r="B8" s="2" t="s">
        <v>535</v>
      </c>
      <c r="C8" s="2" t="s">
        <v>157</v>
      </c>
      <c r="D8" s="2" t="s">
        <v>536</v>
      </c>
      <c r="E8" s="2" t="s">
        <v>537</v>
      </c>
      <c r="F8" s="2" t="s">
        <v>955</v>
      </c>
      <c r="G8" s="2"/>
      <c r="H8" s="2" t="s">
        <v>969</v>
      </c>
      <c r="I8" s="2"/>
      <c r="J8" s="2" t="s">
        <v>970</v>
      </c>
      <c r="K8" s="2"/>
      <c r="L8" s="2" t="s">
        <v>971</v>
      </c>
      <c r="M8" s="2"/>
      <c r="N8" s="2"/>
      <c r="O8" s="2">
        <v>0.95499999999999996</v>
      </c>
      <c r="P8" s="2"/>
      <c r="Q8" s="2"/>
      <c r="R8" s="2"/>
      <c r="S8" s="2" t="s">
        <v>972</v>
      </c>
      <c r="T8" s="2"/>
      <c r="U8" s="2"/>
      <c r="V8" s="2" t="s">
        <v>964</v>
      </c>
      <c r="W8" s="2"/>
      <c r="X8" s="2"/>
      <c r="Y8" s="2"/>
      <c r="Z8" s="2"/>
      <c r="AA8" s="2"/>
    </row>
    <row r="9" spans="1:27" ht="70.7">
      <c r="A9" s="2" t="s">
        <v>861</v>
      </c>
      <c r="B9" s="2" t="s">
        <v>862</v>
      </c>
      <c r="C9" s="2" t="s">
        <v>157</v>
      </c>
      <c r="D9" s="2" t="s">
        <v>863</v>
      </c>
      <c r="E9" s="2" t="s">
        <v>864</v>
      </c>
      <c r="F9" s="2" t="s">
        <v>973</v>
      </c>
      <c r="G9" s="2"/>
      <c r="H9" s="2" t="s">
        <v>974</v>
      </c>
      <c r="I9" s="2"/>
      <c r="J9" s="2" t="s">
        <v>975</v>
      </c>
      <c r="K9" s="2"/>
      <c r="L9" s="2"/>
      <c r="M9" s="2"/>
      <c r="N9" s="2"/>
      <c r="O9" s="2"/>
      <c r="P9" s="2"/>
      <c r="Q9" s="2"/>
      <c r="R9" s="2"/>
      <c r="S9" s="2"/>
      <c r="T9" s="2"/>
      <c r="U9" s="2" t="s">
        <v>976</v>
      </c>
      <c r="V9" s="2" t="s">
        <v>62</v>
      </c>
      <c r="W9" s="2"/>
      <c r="X9" s="2"/>
      <c r="Y9" s="2"/>
      <c r="Z9" s="2"/>
      <c r="AA9" s="2"/>
    </row>
    <row r="10" spans="1:27" ht="84.95">
      <c r="A10" s="2" t="s">
        <v>514</v>
      </c>
      <c r="B10" s="2" t="s">
        <v>515</v>
      </c>
      <c r="C10" s="2" t="s">
        <v>167</v>
      </c>
      <c r="D10" s="2" t="s">
        <v>516</v>
      </c>
      <c r="E10" s="2" t="s">
        <v>517</v>
      </c>
      <c r="F10" s="2" t="s">
        <v>967</v>
      </c>
      <c r="G10" s="2"/>
      <c r="H10" s="2" t="s">
        <v>969</v>
      </c>
      <c r="I10" s="2"/>
      <c r="J10" s="2" t="s">
        <v>977</v>
      </c>
      <c r="K10" s="2"/>
      <c r="L10" s="2" t="s">
        <v>40</v>
      </c>
      <c r="M10" s="2"/>
      <c r="N10" s="2"/>
      <c r="O10" s="2">
        <v>0.81</v>
      </c>
      <c r="P10" s="2"/>
      <c r="Q10" s="2"/>
      <c r="R10" s="2"/>
      <c r="S10" s="2"/>
      <c r="T10" s="2"/>
      <c r="U10" s="2"/>
      <c r="V10" s="2" t="s">
        <v>968</v>
      </c>
      <c r="W10" s="2"/>
      <c r="X10" s="2"/>
      <c r="Y10" s="2"/>
      <c r="Z10" s="2"/>
      <c r="AA10" s="2"/>
    </row>
    <row r="11" spans="1:27" ht="84.95">
      <c r="A11" s="2" t="s">
        <v>544</v>
      </c>
      <c r="B11" s="2" t="s">
        <v>545</v>
      </c>
      <c r="C11" s="2" t="s">
        <v>167</v>
      </c>
      <c r="D11" s="2" t="s">
        <v>546</v>
      </c>
      <c r="E11" s="2" t="s">
        <v>547</v>
      </c>
      <c r="F11" s="2" t="s">
        <v>955</v>
      </c>
      <c r="G11" s="2"/>
      <c r="H11" s="2" t="s">
        <v>978</v>
      </c>
      <c r="I11" s="2"/>
      <c r="J11" s="2" t="s">
        <v>979</v>
      </c>
      <c r="K11" s="2"/>
      <c r="L11" s="2" t="s">
        <v>980</v>
      </c>
      <c r="M11" s="2"/>
      <c r="N11" s="2"/>
      <c r="O11" s="2">
        <v>0.86</v>
      </c>
      <c r="P11" s="2"/>
      <c r="Q11" s="2"/>
      <c r="R11" s="2"/>
      <c r="S11" s="2"/>
      <c r="T11" s="2"/>
      <c r="U11" s="2"/>
      <c r="V11" s="2" t="s">
        <v>964</v>
      </c>
      <c r="W11" s="2"/>
      <c r="X11" s="2"/>
      <c r="Y11" s="2"/>
      <c r="Z11" s="2"/>
      <c r="AA11" s="2"/>
    </row>
    <row r="12" spans="1:27" ht="84.95">
      <c r="A12" s="2" t="s">
        <v>591</v>
      </c>
      <c r="B12" s="2" t="s">
        <v>592</v>
      </c>
      <c r="C12" s="2" t="s">
        <v>167</v>
      </c>
      <c r="D12" s="2" t="s">
        <v>593</v>
      </c>
      <c r="E12" s="2" t="s">
        <v>594</v>
      </c>
      <c r="F12" s="2" t="s">
        <v>955</v>
      </c>
      <c r="G12" s="2"/>
      <c r="H12" s="2"/>
      <c r="I12" s="2"/>
      <c r="J12" s="2"/>
      <c r="K12" s="2"/>
      <c r="L12" s="2" t="s">
        <v>76</v>
      </c>
      <c r="M12" s="2"/>
      <c r="N12" s="2"/>
      <c r="O12" s="2">
        <v>0.88</v>
      </c>
      <c r="P12" s="2"/>
      <c r="Q12" s="2"/>
      <c r="R12" s="2"/>
      <c r="S12" s="2"/>
      <c r="T12" s="2"/>
      <c r="U12" s="2"/>
      <c r="V12" s="2" t="s">
        <v>53</v>
      </c>
      <c r="W12" s="2"/>
      <c r="X12" s="2"/>
      <c r="Y12" s="2"/>
      <c r="Z12" s="2"/>
      <c r="AA12" s="2"/>
    </row>
    <row r="13" spans="1:27" ht="70.7">
      <c r="A13" s="2" t="s">
        <v>756</v>
      </c>
      <c r="B13" s="2" t="s">
        <v>757</v>
      </c>
      <c r="C13" s="2" t="s">
        <v>167</v>
      </c>
      <c r="D13" s="2" t="s">
        <v>758</v>
      </c>
      <c r="E13" s="2" t="s">
        <v>759</v>
      </c>
      <c r="F13" s="2"/>
      <c r="G13" s="2"/>
      <c r="H13" s="2" t="s">
        <v>39</v>
      </c>
      <c r="I13" s="2"/>
      <c r="J13" s="2" t="s">
        <v>981</v>
      </c>
      <c r="K13" s="2"/>
      <c r="L13" s="2" t="s">
        <v>982</v>
      </c>
      <c r="M13" s="2"/>
      <c r="N13" s="2"/>
      <c r="O13" s="2">
        <v>0.82</v>
      </c>
      <c r="P13" s="2"/>
      <c r="Q13" s="2"/>
      <c r="R13" s="2"/>
      <c r="S13" s="2"/>
      <c r="T13" s="2"/>
      <c r="U13" s="2"/>
      <c r="V13" s="2" t="s">
        <v>964</v>
      </c>
      <c r="W13" s="2"/>
      <c r="X13" s="2"/>
      <c r="Y13" s="2"/>
      <c r="Z13" s="2"/>
      <c r="AA13" s="2"/>
    </row>
    <row r="14" spans="1:27" ht="70.7">
      <c r="A14" s="2" t="s">
        <v>259</v>
      </c>
      <c r="B14" s="2" t="s">
        <v>260</v>
      </c>
      <c r="C14" s="2" t="s">
        <v>190</v>
      </c>
      <c r="D14" s="2" t="s">
        <v>261</v>
      </c>
      <c r="E14" s="2" t="s">
        <v>262</v>
      </c>
      <c r="F14" s="2" t="s">
        <v>960</v>
      </c>
      <c r="G14" s="2"/>
      <c r="H14" s="2" t="s">
        <v>961</v>
      </c>
      <c r="I14" s="2"/>
      <c r="J14" s="2" t="s">
        <v>983</v>
      </c>
      <c r="K14" s="2"/>
      <c r="L14" s="2" t="s">
        <v>963</v>
      </c>
      <c r="M14" s="2"/>
      <c r="N14" s="2"/>
      <c r="O14" s="2">
        <v>0.85799999999999998</v>
      </c>
      <c r="P14" s="2"/>
      <c r="Q14" s="2"/>
      <c r="R14" s="2"/>
      <c r="S14" s="2"/>
      <c r="T14" s="2"/>
      <c r="U14" s="2"/>
      <c r="V14" s="2" t="s">
        <v>53</v>
      </c>
      <c r="W14" s="2"/>
      <c r="X14" s="2"/>
      <c r="Y14" s="2"/>
      <c r="Z14" s="2"/>
      <c r="AA14" s="2"/>
    </row>
    <row r="15" spans="1:27" ht="70.7">
      <c r="A15" s="2" t="s">
        <v>400</v>
      </c>
      <c r="B15" s="2" t="s">
        <v>401</v>
      </c>
      <c r="C15" s="2" t="s">
        <v>190</v>
      </c>
      <c r="D15" s="2" t="s">
        <v>402</v>
      </c>
      <c r="E15" s="2" t="s">
        <v>403</v>
      </c>
      <c r="F15" s="2" t="s">
        <v>955</v>
      </c>
      <c r="G15" s="2"/>
      <c r="H15" s="2" t="s">
        <v>984</v>
      </c>
      <c r="I15" s="2"/>
      <c r="J15" s="2" t="s">
        <v>985</v>
      </c>
      <c r="K15" s="2"/>
      <c r="L15" s="2" t="s">
        <v>40</v>
      </c>
      <c r="M15" s="2"/>
      <c r="N15" s="2"/>
      <c r="O15" s="2">
        <v>0.96</v>
      </c>
      <c r="P15" s="2"/>
      <c r="Q15" s="2"/>
      <c r="R15" s="2"/>
      <c r="S15" s="2"/>
      <c r="T15" s="2"/>
      <c r="U15" s="2"/>
      <c r="V15" s="2" t="s">
        <v>964</v>
      </c>
      <c r="W15" s="2"/>
      <c r="X15" s="2"/>
      <c r="Y15" s="2"/>
      <c r="Z15" s="2"/>
      <c r="AA15" s="2"/>
    </row>
    <row r="16" spans="1:27" ht="70.7">
      <c r="A16" s="2" t="s">
        <v>549</v>
      </c>
      <c r="B16" s="2" t="s">
        <v>550</v>
      </c>
      <c r="C16" s="2" t="s">
        <v>190</v>
      </c>
      <c r="D16" s="2" t="s">
        <v>551</v>
      </c>
      <c r="E16" s="2" t="s">
        <v>552</v>
      </c>
      <c r="F16" s="2" t="s">
        <v>986</v>
      </c>
      <c r="G16" s="2"/>
      <c r="H16" s="2" t="s">
        <v>55</v>
      </c>
      <c r="I16" s="2"/>
      <c r="J16" s="2"/>
      <c r="K16" s="2"/>
      <c r="L16" s="2" t="s">
        <v>71</v>
      </c>
      <c r="M16" s="2"/>
      <c r="N16" s="2"/>
      <c r="O16" s="2">
        <v>0.88</v>
      </c>
      <c r="P16" s="2"/>
      <c r="Q16" s="2"/>
      <c r="R16" s="2"/>
      <c r="S16" s="2"/>
      <c r="T16" s="2"/>
      <c r="U16" s="2"/>
      <c r="V16" s="2" t="s">
        <v>53</v>
      </c>
      <c r="W16" s="2"/>
      <c r="X16" s="2"/>
      <c r="Y16" s="2"/>
      <c r="Z16" s="2"/>
      <c r="AA16" s="2"/>
    </row>
    <row r="17" spans="1:27" ht="84.95">
      <c r="A17" s="2" t="s">
        <v>850</v>
      </c>
      <c r="B17" s="2" t="s">
        <v>851</v>
      </c>
      <c r="C17" s="2" t="s">
        <v>190</v>
      </c>
      <c r="D17" s="2" t="s">
        <v>852</v>
      </c>
      <c r="E17" s="2" t="s">
        <v>853</v>
      </c>
      <c r="F17" s="2"/>
      <c r="G17" s="2"/>
      <c r="H17" s="2" t="s">
        <v>961</v>
      </c>
      <c r="I17" s="2"/>
      <c r="J17" s="2"/>
      <c r="K17" s="2"/>
      <c r="L17" s="2" t="s">
        <v>987</v>
      </c>
      <c r="M17" s="2"/>
      <c r="N17" s="2"/>
      <c r="O17" s="2">
        <v>0.85099999999999998</v>
      </c>
      <c r="P17" s="2"/>
      <c r="Q17" s="2"/>
      <c r="R17" s="2"/>
      <c r="S17" s="2" t="s">
        <v>972</v>
      </c>
      <c r="T17" s="2"/>
      <c r="U17" s="2"/>
      <c r="V17" s="2" t="s">
        <v>968</v>
      </c>
      <c r="W17" s="2"/>
      <c r="X17" s="2"/>
      <c r="Y17" s="2"/>
      <c r="Z17" s="2"/>
      <c r="AA17" s="2"/>
    </row>
    <row r="18" spans="1:27" ht="70.7">
      <c r="A18" s="2" t="s">
        <v>287</v>
      </c>
      <c r="B18" s="2" t="s">
        <v>288</v>
      </c>
      <c r="C18" s="2" t="s">
        <v>202</v>
      </c>
      <c r="D18" s="2" t="s">
        <v>289</v>
      </c>
      <c r="E18" s="2" t="s">
        <v>290</v>
      </c>
      <c r="F18" s="2" t="s">
        <v>955</v>
      </c>
      <c r="G18" s="2"/>
      <c r="H18" s="2" t="s">
        <v>47</v>
      </c>
      <c r="I18" s="2"/>
      <c r="J18" s="2" t="s">
        <v>988</v>
      </c>
      <c r="K18" s="2"/>
      <c r="L18" s="2" t="s">
        <v>971</v>
      </c>
      <c r="M18" s="2"/>
      <c r="N18" s="2"/>
      <c r="O18" s="2"/>
      <c r="P18" s="2"/>
      <c r="Q18" s="2"/>
      <c r="R18" s="2"/>
      <c r="S18" s="2" t="s">
        <v>972</v>
      </c>
      <c r="T18" s="2"/>
      <c r="U18" s="2"/>
      <c r="V18" s="2" t="s">
        <v>964</v>
      </c>
      <c r="W18" s="2"/>
      <c r="X18" s="2"/>
      <c r="Y18" s="2"/>
      <c r="Z18" s="2"/>
      <c r="AA18" s="2"/>
    </row>
    <row r="19" spans="1:27" ht="70.7">
      <c r="A19" s="2" t="s">
        <v>324</v>
      </c>
      <c r="B19" s="2" t="s">
        <v>325</v>
      </c>
      <c r="C19" s="2" t="s">
        <v>202</v>
      </c>
      <c r="D19" s="2" t="s">
        <v>326</v>
      </c>
      <c r="E19" s="2" t="s">
        <v>327</v>
      </c>
      <c r="F19" s="2" t="s">
        <v>960</v>
      </c>
      <c r="G19" s="2"/>
      <c r="H19" s="2" t="s">
        <v>60</v>
      </c>
      <c r="I19" s="2"/>
      <c r="J19" s="2"/>
      <c r="K19" s="2"/>
      <c r="L19" s="2" t="s">
        <v>40</v>
      </c>
      <c r="M19" s="2"/>
      <c r="N19" s="2"/>
      <c r="O19" s="2">
        <v>0.85</v>
      </c>
      <c r="P19" s="2"/>
      <c r="Q19" s="2"/>
      <c r="R19" s="2"/>
      <c r="S19" s="2"/>
      <c r="T19" s="2"/>
      <c r="U19" s="2"/>
      <c r="V19" s="2" t="s">
        <v>53</v>
      </c>
      <c r="W19" s="2"/>
      <c r="X19" s="2"/>
      <c r="Y19" s="2"/>
      <c r="Z19" s="2"/>
      <c r="AA19" s="2"/>
    </row>
    <row r="20" spans="1:27" ht="70.7">
      <c r="A20" s="2" t="s">
        <v>438</v>
      </c>
      <c r="B20" s="2" t="s">
        <v>439</v>
      </c>
      <c r="C20" s="2" t="s">
        <v>202</v>
      </c>
      <c r="D20" s="2" t="s">
        <v>440</v>
      </c>
      <c r="E20" s="2" t="s">
        <v>441</v>
      </c>
      <c r="F20" s="2" t="s">
        <v>955</v>
      </c>
      <c r="G20" s="2"/>
      <c r="H20" s="2" t="s">
        <v>60</v>
      </c>
      <c r="I20" s="2"/>
      <c r="J20" s="2" t="s">
        <v>989</v>
      </c>
      <c r="K20" s="2"/>
      <c r="L20" s="2" t="s">
        <v>990</v>
      </c>
      <c r="M20" s="2"/>
      <c r="N20" s="2"/>
      <c r="O20" s="2">
        <v>0.84599999999999997</v>
      </c>
      <c r="P20" s="2"/>
      <c r="Q20" s="2"/>
      <c r="R20" s="2"/>
      <c r="S20" s="2"/>
      <c r="T20" s="2"/>
      <c r="U20" s="2"/>
      <c r="V20" s="2" t="s">
        <v>53</v>
      </c>
      <c r="W20" s="2"/>
      <c r="X20" s="2"/>
      <c r="Y20" s="2"/>
      <c r="Z20" s="2"/>
      <c r="AA20" s="2"/>
    </row>
    <row r="21" spans="1:27" ht="70.7">
      <c r="A21" s="2" t="s">
        <v>503</v>
      </c>
      <c r="B21" s="2" t="s">
        <v>504</v>
      </c>
      <c r="C21" s="2" t="s">
        <v>202</v>
      </c>
      <c r="D21" s="2" t="s">
        <v>505</v>
      </c>
      <c r="E21" s="2" t="s">
        <v>506</v>
      </c>
      <c r="F21" s="2" t="s">
        <v>960</v>
      </c>
      <c r="G21" s="2"/>
      <c r="H21" s="2" t="s">
        <v>991</v>
      </c>
      <c r="I21" s="2"/>
      <c r="J21" s="2" t="s">
        <v>992</v>
      </c>
      <c r="K21" s="2"/>
      <c r="L21" s="2" t="s">
        <v>993</v>
      </c>
      <c r="M21" s="2"/>
      <c r="N21" s="2"/>
      <c r="O21" s="2">
        <v>0.8</v>
      </c>
      <c r="P21" s="2"/>
      <c r="Q21" s="2"/>
      <c r="R21" s="2"/>
      <c r="S21" s="2"/>
      <c r="T21" s="2"/>
      <c r="U21" s="2"/>
      <c r="V21" s="2" t="s">
        <v>968</v>
      </c>
      <c r="W21" s="2"/>
      <c r="X21" s="2"/>
      <c r="Y21" s="2"/>
      <c r="Z21" s="2"/>
      <c r="AA21" s="2"/>
    </row>
    <row r="22" spans="1:27" ht="70.7">
      <c r="A22" s="2" t="s">
        <v>529</v>
      </c>
      <c r="B22" s="2" t="s">
        <v>530</v>
      </c>
      <c r="C22" s="2" t="s">
        <v>202</v>
      </c>
      <c r="D22" s="2" t="s">
        <v>531</v>
      </c>
      <c r="E22" s="2" t="s">
        <v>532</v>
      </c>
      <c r="F22" s="2" t="s">
        <v>955</v>
      </c>
      <c r="G22" s="2"/>
      <c r="H22" s="2" t="s">
        <v>994</v>
      </c>
      <c r="I22" s="2"/>
      <c r="J22" s="2" t="s">
        <v>995</v>
      </c>
      <c r="K22" s="2"/>
      <c r="L22" s="2" t="s">
        <v>996</v>
      </c>
      <c r="M22" s="2"/>
      <c r="N22" s="2"/>
      <c r="O22" s="2"/>
      <c r="P22" s="2"/>
      <c r="Q22" s="2"/>
      <c r="R22" s="2"/>
      <c r="S22" s="2" t="s">
        <v>972</v>
      </c>
      <c r="T22" s="2"/>
      <c r="U22" s="2"/>
      <c r="V22" s="2" t="s">
        <v>968</v>
      </c>
      <c r="W22" s="2"/>
      <c r="X22" s="2"/>
      <c r="Y22" s="2"/>
      <c r="Z22" s="2"/>
      <c r="AA22" s="2"/>
    </row>
    <row r="23" spans="1:27" ht="84.95">
      <c r="A23" s="2" t="s">
        <v>565</v>
      </c>
      <c r="B23" s="2" t="s">
        <v>566</v>
      </c>
      <c r="C23" s="2" t="s">
        <v>202</v>
      </c>
      <c r="D23" s="2" t="s">
        <v>567</v>
      </c>
      <c r="E23" s="2" t="s">
        <v>568</v>
      </c>
      <c r="F23" s="2" t="s">
        <v>955</v>
      </c>
      <c r="G23" s="2"/>
      <c r="H23" s="2" t="s">
        <v>75</v>
      </c>
      <c r="I23" s="2"/>
      <c r="J23" s="2"/>
      <c r="K23" s="2"/>
      <c r="L23" s="2" t="s">
        <v>997</v>
      </c>
      <c r="M23" s="2"/>
      <c r="N23" s="2"/>
      <c r="O23" s="2"/>
      <c r="P23" s="2"/>
      <c r="Q23" s="2"/>
      <c r="R23" s="2"/>
      <c r="S23" s="2"/>
      <c r="T23" s="2"/>
      <c r="U23" s="2"/>
      <c r="V23" s="2" t="s">
        <v>53</v>
      </c>
      <c r="W23" s="2"/>
      <c r="X23" s="2"/>
      <c r="Y23" s="2"/>
      <c r="Z23" s="2"/>
      <c r="AA23" s="2"/>
    </row>
    <row r="24" spans="1:27" ht="70.7">
      <c r="A24" s="2" t="s">
        <v>611</v>
      </c>
      <c r="B24" s="2" t="s">
        <v>612</v>
      </c>
      <c r="C24" s="2" t="s">
        <v>202</v>
      </c>
      <c r="D24" s="2" t="s">
        <v>613</v>
      </c>
      <c r="E24" s="2" t="s">
        <v>614</v>
      </c>
      <c r="F24" s="2" t="s">
        <v>955</v>
      </c>
      <c r="G24" s="2"/>
      <c r="H24" s="2" t="s">
        <v>998</v>
      </c>
      <c r="I24" s="2"/>
      <c r="J24" s="2" t="s">
        <v>999</v>
      </c>
      <c r="K24" s="2"/>
      <c r="L24" s="2"/>
      <c r="M24" s="2"/>
      <c r="N24" s="2"/>
      <c r="O24" s="2"/>
      <c r="P24" s="2"/>
      <c r="Q24" s="2"/>
      <c r="R24" s="2"/>
      <c r="S24" s="2"/>
      <c r="T24" s="2"/>
      <c r="U24" s="2"/>
      <c r="V24" s="2" t="s">
        <v>53</v>
      </c>
      <c r="W24" s="2"/>
      <c r="X24" s="2"/>
      <c r="Y24" s="2"/>
      <c r="Z24" s="2"/>
      <c r="AA24" s="2"/>
    </row>
    <row r="25" spans="1:27" ht="84.95">
      <c r="A25" s="2" t="s">
        <v>638</v>
      </c>
      <c r="B25" s="2" t="s">
        <v>639</v>
      </c>
      <c r="C25" s="2" t="s">
        <v>202</v>
      </c>
      <c r="D25" s="2" t="s">
        <v>640</v>
      </c>
      <c r="E25" s="2" t="s">
        <v>641</v>
      </c>
      <c r="F25" s="2" t="s">
        <v>955</v>
      </c>
      <c r="G25" s="2"/>
      <c r="H25" s="2" t="s">
        <v>969</v>
      </c>
      <c r="I25" s="2"/>
      <c r="J25" s="2" t="s">
        <v>1000</v>
      </c>
      <c r="K25" s="2"/>
      <c r="L25" s="2" t="s">
        <v>1001</v>
      </c>
      <c r="M25" s="2"/>
      <c r="N25" s="2"/>
      <c r="O25" s="2"/>
      <c r="P25" s="2"/>
      <c r="Q25" s="2"/>
      <c r="R25" s="2"/>
      <c r="S25" s="2"/>
      <c r="T25" s="2"/>
      <c r="U25" s="2"/>
      <c r="V25" s="2" t="s">
        <v>53</v>
      </c>
      <c r="W25" s="2"/>
      <c r="X25" s="2"/>
      <c r="Y25" s="2"/>
      <c r="Z25" s="2"/>
      <c r="AA25" s="2"/>
    </row>
    <row r="26" spans="1:27" ht="70.7">
      <c r="A26" s="2" t="s">
        <v>660</v>
      </c>
      <c r="B26" s="2" t="s">
        <v>661</v>
      </c>
      <c r="C26" s="2" t="s">
        <v>202</v>
      </c>
      <c r="D26" s="2" t="s">
        <v>662</v>
      </c>
      <c r="E26" s="2" t="s">
        <v>663</v>
      </c>
      <c r="F26" s="2"/>
      <c r="G26" s="2"/>
      <c r="H26" s="2" t="s">
        <v>39</v>
      </c>
      <c r="I26" s="2"/>
      <c r="J26" s="2" t="s">
        <v>1002</v>
      </c>
      <c r="K26" s="2"/>
      <c r="L26" s="2" t="s">
        <v>1003</v>
      </c>
      <c r="M26" s="2"/>
      <c r="N26" s="2"/>
      <c r="O26" s="2">
        <v>0.8</v>
      </c>
      <c r="P26" s="2"/>
      <c r="Q26" s="2"/>
      <c r="R26" s="2"/>
      <c r="S26" s="2"/>
      <c r="T26" s="2"/>
      <c r="U26" s="2"/>
      <c r="V26" s="2" t="s">
        <v>53</v>
      </c>
      <c r="W26" s="2"/>
      <c r="X26" s="2"/>
      <c r="Y26" s="2"/>
      <c r="Z26" s="2"/>
      <c r="AA26" s="2"/>
    </row>
    <row r="27" spans="1:27" ht="70.7">
      <c r="A27" s="2" t="s">
        <v>730</v>
      </c>
      <c r="B27" s="2" t="s">
        <v>731</v>
      </c>
      <c r="C27" s="2" t="s">
        <v>202</v>
      </c>
      <c r="D27" s="2" t="s">
        <v>732</v>
      </c>
      <c r="E27" s="2" t="s">
        <v>733</v>
      </c>
      <c r="F27" s="2" t="s">
        <v>955</v>
      </c>
      <c r="G27" s="2"/>
      <c r="H27" s="2" t="s">
        <v>1004</v>
      </c>
      <c r="I27" s="2"/>
      <c r="J27" s="2" t="s">
        <v>1005</v>
      </c>
      <c r="K27" s="2"/>
      <c r="L27" s="2" t="s">
        <v>987</v>
      </c>
      <c r="M27" s="2"/>
      <c r="N27" s="2"/>
      <c r="O27" s="2">
        <v>0.97599999999999998</v>
      </c>
      <c r="P27" s="2"/>
      <c r="Q27" s="2"/>
      <c r="R27" s="2"/>
      <c r="S27" s="2"/>
      <c r="T27" s="2"/>
      <c r="U27" s="2"/>
      <c r="V27" s="2" t="s">
        <v>964</v>
      </c>
      <c r="W27" s="2"/>
      <c r="X27" s="2"/>
      <c r="Y27" s="2"/>
      <c r="Z27" s="2"/>
      <c r="AA27" s="2"/>
    </row>
    <row r="28" spans="1:27" ht="70.7">
      <c r="A28" s="2" t="s">
        <v>830</v>
      </c>
      <c r="B28" s="2" t="s">
        <v>831</v>
      </c>
      <c r="C28" s="2" t="s">
        <v>202</v>
      </c>
      <c r="D28" s="2" t="s">
        <v>832</v>
      </c>
      <c r="E28" s="2" t="s">
        <v>833</v>
      </c>
      <c r="F28" s="2" t="s">
        <v>955</v>
      </c>
      <c r="G28" s="2"/>
      <c r="H28" s="2" t="s">
        <v>961</v>
      </c>
      <c r="I28" s="2"/>
      <c r="J28" s="2" t="s">
        <v>1006</v>
      </c>
      <c r="K28" s="2"/>
      <c r="L28" s="2" t="s">
        <v>1003</v>
      </c>
      <c r="M28" s="2"/>
      <c r="N28" s="2"/>
      <c r="O28" s="2">
        <v>0.84</v>
      </c>
      <c r="P28" s="2"/>
      <c r="Q28" s="2"/>
      <c r="R28" s="2"/>
      <c r="S28" s="2" t="s">
        <v>1007</v>
      </c>
      <c r="T28" s="2"/>
      <c r="U28" s="2"/>
      <c r="V28" s="2" t="s">
        <v>53</v>
      </c>
      <c r="W28" s="2"/>
      <c r="X28" s="2"/>
      <c r="Y28" s="2"/>
      <c r="Z28" s="2"/>
      <c r="AA28" s="2"/>
    </row>
    <row r="29" spans="1:27" ht="70.7">
      <c r="A29" s="2" t="s">
        <v>840</v>
      </c>
      <c r="B29" s="2" t="s">
        <v>841</v>
      </c>
      <c r="C29" s="2" t="s">
        <v>202</v>
      </c>
      <c r="D29" s="2" t="s">
        <v>842</v>
      </c>
      <c r="E29" s="2" t="s">
        <v>843</v>
      </c>
      <c r="F29" s="2" t="s">
        <v>960</v>
      </c>
      <c r="G29" s="2"/>
      <c r="H29" s="2"/>
      <c r="I29" s="2"/>
      <c r="J29" s="2"/>
      <c r="K29" s="2"/>
      <c r="L29" s="2" t="s">
        <v>1008</v>
      </c>
      <c r="M29" s="2"/>
      <c r="N29" s="2"/>
      <c r="O29" s="2"/>
      <c r="P29" s="2"/>
      <c r="Q29" s="2"/>
      <c r="R29" s="2"/>
      <c r="S29" s="2"/>
      <c r="T29" s="2"/>
      <c r="U29" s="2"/>
      <c r="V29" s="2" t="s">
        <v>968</v>
      </c>
      <c r="W29" s="2"/>
      <c r="X29" s="2"/>
      <c r="Y29" s="2"/>
      <c r="Z29" s="2"/>
      <c r="AA29" s="2"/>
    </row>
    <row r="30" spans="1:27" ht="84.95">
      <c r="A30" s="2" t="s">
        <v>492</v>
      </c>
      <c r="B30" s="2" t="s">
        <v>493</v>
      </c>
      <c r="C30" s="2" t="s">
        <v>233</v>
      </c>
      <c r="D30" s="2" t="s">
        <v>494</v>
      </c>
      <c r="E30" s="2" t="s">
        <v>495</v>
      </c>
      <c r="F30" s="2" t="s">
        <v>955</v>
      </c>
      <c r="G30" s="2"/>
      <c r="H30" s="2" t="s">
        <v>60</v>
      </c>
      <c r="I30" s="2"/>
      <c r="J30" s="2"/>
      <c r="K30" s="2"/>
      <c r="L30" s="2" t="s">
        <v>1009</v>
      </c>
      <c r="M30" s="2"/>
      <c r="N30" s="2"/>
      <c r="O30" s="2"/>
      <c r="P30" s="2"/>
      <c r="Q30" s="2"/>
      <c r="R30" s="2"/>
      <c r="S30" s="2"/>
      <c r="T30" s="2"/>
      <c r="U30" s="2"/>
      <c r="V30" s="2" t="s">
        <v>53</v>
      </c>
      <c r="W30" s="2"/>
      <c r="X30" s="2"/>
      <c r="Y30" s="2"/>
      <c r="Z30" s="2"/>
      <c r="AA30" s="2"/>
    </row>
    <row r="31" spans="1:27" ht="70.7">
      <c r="A31" s="2" t="s">
        <v>560</v>
      </c>
      <c r="B31" s="2" t="s">
        <v>561</v>
      </c>
      <c r="C31" s="2" t="s">
        <v>233</v>
      </c>
      <c r="D31" s="2" t="s">
        <v>562</v>
      </c>
      <c r="E31" s="2" t="s">
        <v>563</v>
      </c>
      <c r="F31" s="2" t="s">
        <v>955</v>
      </c>
      <c r="G31" s="2"/>
      <c r="H31" s="2" t="s">
        <v>1010</v>
      </c>
      <c r="I31" s="2"/>
      <c r="J31" s="2" t="s">
        <v>1011</v>
      </c>
      <c r="K31" s="2"/>
      <c r="L31" s="2" t="s">
        <v>40</v>
      </c>
      <c r="M31" s="2"/>
      <c r="N31" s="2"/>
      <c r="O31" s="2"/>
      <c r="P31" s="2"/>
      <c r="Q31" s="2"/>
      <c r="R31" s="2"/>
      <c r="S31" s="2"/>
      <c r="T31" s="2"/>
      <c r="U31" s="2"/>
      <c r="V31" s="2" t="s">
        <v>53</v>
      </c>
      <c r="W31" s="2"/>
      <c r="X31" s="2"/>
      <c r="Y31" s="2"/>
      <c r="Z31" s="2"/>
      <c r="AA31" s="2"/>
    </row>
    <row r="32" spans="1:27" ht="70.7">
      <c r="A32" s="2" t="s">
        <v>740</v>
      </c>
      <c r="B32" s="2" t="s">
        <v>741</v>
      </c>
      <c r="C32" s="2" t="s">
        <v>233</v>
      </c>
      <c r="D32" s="2" t="s">
        <v>742</v>
      </c>
      <c r="E32" s="2" t="s">
        <v>743</v>
      </c>
      <c r="F32" s="2" t="s">
        <v>955</v>
      </c>
      <c r="G32" s="2"/>
      <c r="H32" s="2" t="s">
        <v>1012</v>
      </c>
      <c r="I32" s="2"/>
      <c r="J32" s="2"/>
      <c r="K32" s="2"/>
      <c r="L32" s="2"/>
      <c r="M32" s="2"/>
      <c r="N32" s="2"/>
      <c r="O32" s="2">
        <v>0.89</v>
      </c>
      <c r="P32" s="2"/>
      <c r="Q32" s="2"/>
      <c r="R32" s="2"/>
      <c r="S32" s="2" t="s">
        <v>1013</v>
      </c>
      <c r="T32" s="2"/>
      <c r="U32" s="2"/>
      <c r="V32" s="2" t="s">
        <v>53</v>
      </c>
      <c r="W32" s="2"/>
      <c r="X32" s="2"/>
      <c r="Y32" s="2"/>
      <c r="Z32" s="2"/>
      <c r="AA32" s="2"/>
    </row>
    <row r="33" spans="1:27" ht="84.95">
      <c r="A33" s="2" t="s">
        <v>825</v>
      </c>
      <c r="B33" s="2" t="s">
        <v>826</v>
      </c>
      <c r="C33" s="2" t="s">
        <v>233</v>
      </c>
      <c r="D33" s="2" t="s">
        <v>827</v>
      </c>
      <c r="E33" s="2" t="s">
        <v>828</v>
      </c>
      <c r="F33" s="2" t="s">
        <v>955</v>
      </c>
      <c r="G33" s="2"/>
      <c r="H33" s="2" t="s">
        <v>961</v>
      </c>
      <c r="I33" s="2"/>
      <c r="J33" s="2" t="s">
        <v>1014</v>
      </c>
      <c r="K33" s="2"/>
      <c r="L33" s="2" t="s">
        <v>40</v>
      </c>
      <c r="M33" s="2"/>
      <c r="N33" s="2"/>
      <c r="O33" s="2"/>
      <c r="P33" s="2"/>
      <c r="Q33" s="2"/>
      <c r="R33" s="2"/>
      <c r="S33" s="2"/>
      <c r="T33" s="2"/>
      <c r="U33" s="2"/>
      <c r="V33" s="2" t="s">
        <v>53</v>
      </c>
      <c r="W33" s="2"/>
      <c r="X33" s="2"/>
      <c r="Y33" s="2"/>
      <c r="Z33" s="2"/>
      <c r="AA33" s="2"/>
    </row>
    <row r="34" spans="1:27" ht="70.7">
      <c r="A34" s="2" t="s">
        <v>871</v>
      </c>
      <c r="B34" s="2" t="s">
        <v>872</v>
      </c>
      <c r="C34" s="2" t="s">
        <v>233</v>
      </c>
      <c r="D34" s="2" t="s">
        <v>873</v>
      </c>
      <c r="E34" s="2" t="s">
        <v>874</v>
      </c>
      <c r="F34" s="2"/>
      <c r="G34" s="2"/>
      <c r="H34" s="2"/>
      <c r="I34" s="2"/>
      <c r="J34" s="2"/>
      <c r="K34" s="2"/>
      <c r="L34" s="2" t="s">
        <v>1015</v>
      </c>
      <c r="M34" s="2"/>
      <c r="N34" s="2"/>
      <c r="O34" s="2"/>
      <c r="P34" s="2"/>
      <c r="Q34" s="2"/>
      <c r="R34" s="2"/>
      <c r="S34" s="2"/>
      <c r="T34" s="2"/>
      <c r="U34" s="2"/>
      <c r="V34" s="2" t="s">
        <v>964</v>
      </c>
      <c r="W34" s="2"/>
      <c r="X34" s="2"/>
      <c r="Y34" s="2"/>
      <c r="Z34" s="2"/>
      <c r="AA34" s="2"/>
    </row>
    <row r="35" spans="1:27" ht="84.95">
      <c r="A35" s="2" t="s">
        <v>877</v>
      </c>
      <c r="B35" s="2" t="s">
        <v>878</v>
      </c>
      <c r="C35" s="2" t="s">
        <v>233</v>
      </c>
      <c r="D35" s="2" t="s">
        <v>879</v>
      </c>
      <c r="E35" s="2" t="s">
        <v>880</v>
      </c>
      <c r="F35" s="2"/>
      <c r="G35" s="2"/>
      <c r="H35" s="2" t="s">
        <v>60</v>
      </c>
      <c r="I35" s="2"/>
      <c r="J35" s="2"/>
      <c r="K35" s="2"/>
      <c r="L35" s="2" t="s">
        <v>40</v>
      </c>
      <c r="M35" s="2"/>
      <c r="N35" s="2"/>
      <c r="O35" s="2"/>
      <c r="P35" s="2"/>
      <c r="Q35" s="2"/>
      <c r="R35" s="2"/>
      <c r="S35" s="2"/>
      <c r="T35" s="2"/>
      <c r="U35" s="2"/>
      <c r="V35" s="2" t="s">
        <v>53</v>
      </c>
      <c r="W35" s="2"/>
      <c r="X35" s="2"/>
      <c r="Y35" s="2"/>
      <c r="Z35" s="2"/>
      <c r="AA35" s="2"/>
    </row>
    <row r="36" spans="1:27" ht="84.95">
      <c r="A36" s="2" t="s">
        <v>888</v>
      </c>
      <c r="B36" s="2" t="s">
        <v>889</v>
      </c>
      <c r="C36" s="2" t="s">
        <v>233</v>
      </c>
      <c r="D36" s="2" t="s">
        <v>890</v>
      </c>
      <c r="E36" s="2" t="s">
        <v>891</v>
      </c>
      <c r="F36" s="2" t="s">
        <v>955</v>
      </c>
      <c r="G36" s="2"/>
      <c r="H36" s="2" t="s">
        <v>1016</v>
      </c>
      <c r="I36" s="2"/>
      <c r="J36" s="2" t="s">
        <v>1017</v>
      </c>
      <c r="K36" s="2"/>
      <c r="L36" s="2" t="s">
        <v>40</v>
      </c>
      <c r="M36" s="2"/>
      <c r="N36" s="2"/>
      <c r="O36" s="2">
        <v>0.94</v>
      </c>
      <c r="P36" s="2"/>
      <c r="Q36" s="2"/>
      <c r="R36" s="2"/>
      <c r="S36" s="2"/>
      <c r="T36" s="2"/>
      <c r="U36" s="2"/>
      <c r="V36" s="2" t="s">
        <v>53</v>
      </c>
      <c r="W36" s="2"/>
      <c r="X36" s="2"/>
      <c r="Y36" s="2"/>
      <c r="Z36" s="2"/>
      <c r="AA36"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700-000000000000}">
          <x14:formula1>
            <xm:f>Data_Dictionary!$D$2:$D$5</xm:f>
          </x14:formula1>
          <xm:sqref>N2:N36 T2:T36 P2:R36</xm:sqref>
        </x14:dataValidation>
        <x14:dataValidation type="list" xr:uid="{00000000-0002-0000-0700-000003000000}">
          <x14:formula1>
            <xm:f>Data_Dictionary!$E$2:$E$15</xm:f>
          </x14:formula1>
          <xm:sqref>X2:X36</xm:sqref>
        </x14:dataValidation>
        <x14:dataValidation type="list" xr:uid="{00000000-0002-0000-0700-000004000000}">
          <x14:formula1>
            <xm:f>Data_Dictionary!$C$2:$C$4</xm:f>
          </x14:formula1>
          <xm:sqref>Y2:Y36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2026-06-11T04:15:05Z</dcterms:created>
  <dcterms:modified xsi:type="dcterms:W3CDTF">2026-06-12T23:29:02Z</dcterms:modified>
  <cp:category/>
  <cp:contentStatus/>
</cp:coreProperties>
</file>
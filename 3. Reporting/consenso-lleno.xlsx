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martworkec-my.sharepoint.com/personal/andres_bastidas_smartwork_com_ec/Documents/Archivos/Doctorado en Informática - EPN/Paper SLR Preclamsia 2025/7. MDPI/manual_verification_protocol_package/"/>
    </mc:Choice>
  </mc:AlternateContent>
  <xr:revisionPtr revIDLastSave="20" documentId="13_ncr:1_{3EE63F52-8C95-4B08-A8AE-2CB120379D3A}" xr6:coauthVersionLast="47" xr6:coauthVersionMax="47" xr10:uidLastSave="{5F246DFF-3616-47A2-B68C-684F0F2B0544}"/>
  <bookViews>
    <workbookView xWindow="-103" yWindow="-18617" windowWidth="33120" windowHeight="18720" xr2:uid="{00000000-000D-0000-FFFF-FFFF00000000}"/>
  </bookViews>
  <sheets>
    <sheet name="Conflicts_for_Consensus" sheetId="1" r:id="rId1"/>
    <sheet name="Data_Dictionary" sheetId="2" r:id="rId2"/>
    <sheet name="Summary" sheetId="3" r:id="rId3"/>
    <sheet name="Instruc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5" i="3"/>
  <c r="B4" i="3"/>
  <c r="B3" i="3"/>
  <c r="AH15" i="1"/>
  <c r="AH14" i="1"/>
  <c r="AH13" i="1"/>
  <c r="AH12" i="1"/>
  <c r="AH11" i="1"/>
  <c r="AH10" i="1"/>
  <c r="AH9" i="1"/>
  <c r="AH8" i="1"/>
  <c r="AH7" i="1"/>
  <c r="AH6" i="1"/>
  <c r="AH5" i="1"/>
  <c r="AH4" i="1"/>
  <c r="AH3" i="1"/>
  <c r="AH2" i="1"/>
  <c r="B6" i="3" l="1"/>
</calcChain>
</file>

<file path=xl/sharedStrings.xml><?xml version="1.0" encoding="utf-8"?>
<sst xmlns="http://schemas.openxmlformats.org/spreadsheetml/2006/main" count="458" uniqueCount="187">
  <si>
    <t>ConflictID</t>
  </si>
  <si>
    <t>Conflict type</t>
  </si>
  <si>
    <t>EntryID</t>
  </si>
  <si>
    <t>EntryKey</t>
  </si>
  <si>
    <t>Year</t>
  </si>
  <si>
    <t>SourceDatabase</t>
  </si>
  <si>
    <t>DOI</t>
  </si>
  <si>
    <t>Title</t>
  </si>
  <si>
    <t>Abstract snippet</t>
  </si>
  <si>
    <t>Previous audit recommendation</t>
  </si>
  <si>
    <t>R1 initials</t>
  </si>
  <si>
    <t>R1 decision</t>
  </si>
  <si>
    <t>R1 reason</t>
  </si>
  <si>
    <t>R1 confidence</t>
  </si>
  <si>
    <t>R1 full text consulted?</t>
  </si>
  <si>
    <t>R1 DOI/Crossref issue?</t>
  </si>
  <si>
    <t>R1 notes</t>
  </si>
  <si>
    <t>R2 initials</t>
  </si>
  <si>
    <t>R2 decision</t>
  </si>
  <si>
    <t>R2 reason</t>
  </si>
  <si>
    <t>R2 confidence</t>
  </si>
  <si>
    <t>R2 full text consulted?</t>
  </si>
  <si>
    <t>R2 DOI/Crossref issue?</t>
  </si>
  <si>
    <t>R2 notes</t>
  </si>
  <si>
    <t>Final consensus decision</t>
  </si>
  <si>
    <t>Final exclusion reason</t>
  </si>
  <si>
    <t>Final inclusion scope</t>
  </si>
  <si>
    <t>Full text used in consensus?</t>
  </si>
  <si>
    <t>DOI/Crossref verified?</t>
  </si>
  <si>
    <t>Consensus confidence</t>
  </si>
  <si>
    <t>Consensus notes / rationale</t>
  </si>
  <si>
    <t>Consensus owner</t>
  </si>
  <si>
    <t>Date resolved</t>
  </si>
  <si>
    <t>Action for dataset</t>
  </si>
  <si>
    <t>Substantive decision conflict</t>
  </si>
  <si>
    <t>142F34D3-9E4C-462C-B790-0347F00B4AE8</t>
  </si>
  <si>
    <t>ballard_2024</t>
  </si>
  <si>
    <t>2024</t>
  </si>
  <si>
    <t>Scopus</t>
  </si>
  <si>
    <t>10.2196/48997</t>
  </si>
  <si>
    <t>Five-Feature Models to Predict Preeclampsia Onset Time From Electronic Health Record Data: Development and Validation Study</t>
  </si>
  <si>
    <t>Background: Preeclampsia is a potentially fatal complication during pregnancy, characterized by high blood pressure and the presence of excessive proteins in the urine. Due to its complexity, the prediction of preeclampsia onset is often difficult and inaccurate. Objective: This study aimed to create quantitative models to predict the onset gestational age of preeclampsia using electronic health records. Methods: We retrospectively collected 1178 preeclamptic pregnancy records from the University of Michigan Health System as the discovery cohort, and 881 records from the University of Florida Health System as the validation cohort. We constructed 2 Cox-proportional hazards models: 1 baseline model using maternal and pregnancy characteristics, and the other full model with additional labora…</t>
  </si>
  <si>
    <t>Include: Include: primary ML/AI or prediction-model study for preeclampsia identifiable from title/abstract.</t>
  </si>
  <si>
    <t>LGF</t>
  </si>
  <si>
    <t>Include</t>
  </si>
  <si>
    <t>High</t>
  </si>
  <si>
    <t>No</t>
  </si>
  <si>
    <t>MP</t>
  </si>
  <si>
    <t>Exclude</t>
  </si>
  <si>
    <t>936AADDB-B5CA-4868-BF17-597C4704ACA2</t>
  </si>
  <si>
    <t>butler_2024</t>
  </si>
  <si>
    <t>10.3389/fcvm.2024.1360238</t>
  </si>
  <si>
    <t>AI-based preeclampsia detection and prediction with electrocardiogram data</t>
  </si>
  <si>
    <t>Introduction: More than 76,000 women die yearly from preeclampsia and hypertensive disorders of pregnancy. Early diagnosis and management of preeclampsia can improve outcomes for both mother and baby. In this study, we developed artificial intelligence models to detect and predict preeclampsia from electrocardiograms (ECGs) in point-of-care settings. Methods: Ten-second 12-lead ECG data was obtained from two large health care settings: University of Tennessee Health Science Center (UTHSC) and Atrium Health Wake Forest Baptist (AHWFB). UTHSC data was split into 80\% training and 20\% holdout data. The model used a modified ResNet convolutional neural network, taking one-dimensional raw ECG signals comprising 12 channels as an input, to predict risk of preeclampsia. Sub-analyses were perform…</t>
  </si>
  <si>
    <t>Medium</t>
  </si>
  <si>
    <t>Study uses electrocardiogram which can be uncommon for ecuadorian practice</t>
  </si>
  <si>
    <t>Not PE/HDP</t>
  </si>
  <si>
    <t>predict preeclampsia from electrocardiograms (ECGs) in point-of-care settings</t>
  </si>
  <si>
    <t>F0745FB1-E026-43FB-9590-5DF16CBBB848</t>
  </si>
  <si>
    <t>cheng_2023</t>
  </si>
  <si>
    <t>2023</t>
  </si>
  <si>
    <t>Springerlink</t>
  </si>
  <si>
    <t>10.1038/s41598-023-35935-6</t>
  </si>
  <si>
    <t>Predicting body mass index in early childhood using data from the first 1000 days</t>
  </si>
  <si>
    <t>Few existing efforts to predict childhood obesity have included risk factors across the prenatal and early infancy periods, despite evidence that the first 1000 days is critical for obesity prevention. In this study, we employed machine learning techniques to understand the influence of factors in the first 1000 days on body mass index (BMI) values during childhood. We used LASSO regression to identify 13 features in addition to historical weight, height, and BMI that were relevant to childhood obesity. We then developed prediction models based on support vector regression with fivefold cross validation, estimating BMI for three time periods: 30–36 (N = 4204), 36–42 (N = 4130), and 42–48 (N = 2880) months. Our models were developed using 80\% of the patients from each period. When tested o…</t>
  </si>
  <si>
    <t>Exclude/Context: Abstract book/proceedings collection/front matter rather than a standalone eligible study.</t>
  </si>
  <si>
    <t>822CC28D-FF46-4624-B9A2-E33173D053B1</t>
  </si>
  <si>
    <t>gonz_lez_fern_ndez_2023</t>
  </si>
  <si>
    <t>Elsevier</t>
  </si>
  <si>
    <t>10.1016/b978-0-12-821848-8.00166-9</t>
  </si>
  <si>
    <t>Pregnancy: Pre-eclampsia and diet</t>
  </si>
  <si>
    <t>Hypertensive disorders during pregnancy (HDPs) are one of the main causes of maternal death worldwide, particularly complications of pre-eclampsia and eclampsia. Although the etiology remains unclear, specific nutrients have been proposed as contributing factors in the pathophysiology of the disease. Both overnutrition and undernutrition influence oxidative stress and inflammation processes, favoring the development of HDPs. Current evidence suggests that calcium supplementation in populations with low calcium intake and at risk of developing HDPs could be beneficial. Supplementation with certain micronutrients and minerals appears to be a promising nutritional strategy for the prevention of HDPs, but further large-scale studies are needed to confirm their efficacy.</t>
  </si>
  <si>
    <t>Exclude/Context: Review/guideline/commentary/background article; use as context, not as a primary study in RQ denominators.</t>
  </si>
  <si>
    <t>E176D2EA-7BB3-423B-94A8-F4966EEF7B45</t>
  </si>
  <si>
    <t>hoffman_2021</t>
  </si>
  <si>
    <t>2021</t>
  </si>
  <si>
    <t>10.1016/j.ajogmf.2020.100250</t>
  </si>
  <si>
    <t>A machine learning algorithm for predicting maternal readmission for hypertensive disorders of pregnancy</t>
  </si>
  <si>
    <t>Background: Maternal postpartum hypertensive emergency is a major cause of maternal mortality and maternal readmission, yet prediction of women who require readmission is limited with false negatives and false positives. Objective: This study aimed to develop and validate a predictive algorithm for maternal postpartum readmission from complications of hypertensive disorders of pregnancy using machine learning. Study Design: We performed a cohort study of pregnant women delivering at a single institution using prospectively collected clinical information available from the electronic medical record at the time of discharge. Our primary outcome was readmission within 42 days of delivery for complications of hypertensive disorders of pregnancy. The data set was divided into a derivation and a…</t>
  </si>
  <si>
    <t>Include: Include: ML/AI model applied to a PE/HDP cohort, PE/HDP-related complication, or HDP-related outcome.</t>
  </si>
  <si>
    <t>This study may focus not on Preeclampsia</t>
  </si>
  <si>
    <t>Not ML/AI</t>
  </si>
  <si>
    <t>AI/ML study not focused on preeclampsia prediction
This study aimed to develop and validate a predictive algorithm for maternal postpartum readmission from complications of hypertensive disorders of pregnancy using machine learning</t>
  </si>
  <si>
    <t>029BB1E9-D804-49BD-832A-B77C2258221A</t>
  </si>
  <si>
    <t>lee_2022</t>
  </si>
  <si>
    <t>2022</t>
  </si>
  <si>
    <t>PubMed</t>
  </si>
  <si>
    <t>10.1038/s41598-022-15391-4</t>
  </si>
  <si>
    <t>Development of early prediction model for pregnancy-associated hypertension with graph-based semi-supervised learning</t>
  </si>
  <si>
    <t>Abstract Clinical guidelines recommend several risk factors to identify women in early pregnancy at high risk of developing pregnancy-associated hypertension. However, these variables result in low predictive accuracy. Here, we developed a prediction model for pregnancy-associated hypertension using graph-based semi-supervised learning. This is a secondary analysis of a prospective study of healthy pregnant women. To develop the prediction model, we compared the prediction performances across five machine learning methods (semi-supervised learning with both labeled and unlabeled data, semi-supervised learning with labeled data only, logistic regression, support vector machine, and random forest) using three different variable sets: [a] variables from clinical guidelines, [b] selected impor…</t>
  </si>
  <si>
    <t>Include: Include: ML/AI prediction of HDP, pregnancy-associated hypertension, or pregnancy-induced hypertension.</t>
  </si>
  <si>
    <t>Yes</t>
  </si>
  <si>
    <t>https://doi.org/10.1038/s41598-022-15391-4</t>
  </si>
  <si>
    <t>24293E1D-463F-47E1-8537-8F1FC7E19020</t>
  </si>
  <si>
    <t>loftness2023</t>
  </si>
  <si>
    <t>IEEE</t>
  </si>
  <si>
    <t>10.1109/embc40787.2023.10340404</t>
  </si>
  <si>
    <t>Preterm Preeclampsia Risk Modelling: Examining Hemodynamic,  Biochemical,  and Biophysical Markers Prior to Pregnancy</t>
  </si>
  <si>
    <t>Preeclampsia (PE) is a leading cause of maternal and perinatal death globally and can lead to unplanned preterm birth. Predicting risk for preterm or early-onset PE, has been investigated primarily after conception, and particularly in the early and mid-gestational periods. However, there is a distinct clinical advantage in identifying individuals at risk for PE prior to conception, when a wider array of preventive interventions are available. In this work, we leverage machine learning techniques to identify potential pre-pregnancy biomarkers of PE in a sample of 80 women, 10 of whom were diagnosed with preterm preeclampsia during their subsequent pregnancy. We explore prospective biomarkers derived from hemodynamic, biophysical, and biochemical measurements and several modeling approaches…</t>
  </si>
  <si>
    <t>This study focuses on bio markers and not on machine learning models</t>
  </si>
  <si>
    <t>B55622F5-D1F3-4D0A-A895-015EEA22A8CA</t>
  </si>
  <si>
    <t>maheswari2024</t>
  </si>
  <si>
    <t>10.1109/icscna63714.2024.10864251</t>
  </si>
  <si>
    <t>Analysis and Detection of Preeclampsia Using Machine Learning Techniques</t>
  </si>
  <si>
    <t>Preeclampsia is a significant pregnancy complication marked by elevated blood pressure and the possibility of harm to various organs, posing risks to both the mother and the baby. Preeclampsia is a dangerous pregnancy complication that can harm other organs and raise blood pressure, endangering both the mother and the fetus. To improve outcomes for mothers and newborns, preeclampsia must be identified early and treated appropriately. This study proposes a hyperparameter-tuned K-Nearest Neighbors (KNN) classification model as a potential means of diagnosing preeclampsia. To effectively forecast the possibility of preeclampsia the model utilizes several clinical factors, such as blood pressure, body mass index (BMI), number of pregnancies, placental location, uterine artery pulsatility index…</t>
  </si>
  <si>
    <t>DOI: 10.1109/ICSCNA63714.2024.10864251
To effectively forecast the possibility of preeclampsia the model utilizes several clinical factors, such as blood pressure, body mass index (BMI), number of pregnancies, placental location, uterine artery pulsatility index (UTPI), and ultrasound imaging of the placenta</t>
  </si>
  <si>
    <t>A5C6A395-DBC9-42C9-9259-1F4FD2F5B4BC</t>
  </si>
  <si>
    <t>mohamed_dkeen_2025</t>
  </si>
  <si>
    <t>2025</t>
  </si>
  <si>
    <t>10.7759/cureus.83961</t>
  </si>
  <si>
    <t>Artificial Intelligence Applications in Obstetric Risk Prediction: A Systematic Review of Machine Learning Models for Preeclampsia</t>
  </si>
  <si>
    <t>Preeclampsia remains a leading cause of maternal and perinatal morbidity and mortality worldwide. While traditional prediction models have shown limited accuracy, machine learning (ML) approaches offer promising alternatives by handling complex, non-linear relationships in multidimensional datasets. This systematic review evaluates the performance, methodological quality, and clinical applicability of ML models for preeclampsia prediction. Following Preferred Reporting Items for Systematic Reviews and Meta-Analyses (PRISMA) 2020 guidelines, we searched five databases (PubMed, Embase, Scopus, Web of Science, and Cochrane Library) for studies published until April 15, 2025, and included studies that developed or validated ML models predicting preeclampsia. Risk of bias was assessed using the…</t>
  </si>
  <si>
    <t>Exclude/Context: Methodological/reporting reference; keep for Methods/Discussion, remove from RQ denominators.</t>
  </si>
  <si>
    <t>Contextual review/guideline/methodological reference</t>
  </si>
  <si>
    <t>BFA72071-41FC-44AA-B5CF-764560897298</t>
  </si>
  <si>
    <t>moons2019</t>
  </si>
  <si>
    <t>2019</t>
  </si>
  <si>
    <t>Snowballing</t>
  </si>
  <si>
    <t>10.7326/M18-1377</t>
  </si>
  <si>
    <t>PROBAST: Explanation and Elaboration</t>
  </si>
  <si>
    <t>Prediction models in health care estimate the likelihood that an individual currently has (diagnostic model) or will develop (prognostic model) a condition. As the number of prediction models has grown rapidly—often with multiple models addressing the same outcome—systematic reviews are increasingly necessary to assess their quality and applicability. To facilitate this, PROBAST (Prediction model Risk Of Bias ASsessment Tool) was developed through expert consensus to evaluate studies that develop, validate, or update diagnostic and prognostic prediction models. PROBAST includes 20 signaling questions across four domains: participants, predictors, outcome, and analysis. This explanation and elaboration document details the rationale behind each domain and question, guiding reviewers, resear…</t>
  </si>
  <si>
    <t>063C8481-829E-43EF-A661-9ACF1C98F0C5</t>
  </si>
  <si>
    <t>salmeri_2023</t>
  </si>
  <si>
    <t>10.1186/s12884-023-05864-3</t>
  </si>
  <si>
    <t>Commentary: Predicting adverse outcomes in pregnant patients positive for SARS-CoV-2 by a machine learning approach</t>
  </si>
  <si>
    <t>SARS-CoV-2 infection poses a significant risk increase for adverse pregnancy outcomes both from maternal and fetal sides. A recent publication in BMC Pregnancy and Childbirth presented a machine learning algorithm to predict this risk. This commentary will discuss potential implications and applications of this study for future global health policies.</t>
  </si>
  <si>
    <t>645607AE-D040-4A7B-9A26-0123E16EF6D4</t>
  </si>
  <si>
    <t>wang2023fgr</t>
  </si>
  <si>
    <t>10.31083/j.ceog5008172</t>
  </si>
  <si>
    <t>A New XGBoost Algorithm Based Prediction Model for Fetal Growth Restriction in Patients with Preeclampsia</t>
  </si>
  <si>
    <t>Background: To construct a predictive model for fetal growth restriction (FGR) in preeclampsia (PE) patients using extreme Gradient Boosting (XGBoost) algorithm.     Methods: A prospective study was conducted in the Obstetrics Department of Wuming Hospital from October 1, 2016, to October 1, 2021. A total of 303 preeclampsia patients were divided into two groups based on FGR status (restricted vs. unrestricted group). The clinical data and laboratory indicators between the two groups were compared. Logistic multivariate analysis and the XGBoost algorithm model were used to identify the risk factors for FGR in preeclampsia. Moreover, we used the receiver operating characteristic (ROC) curve to verify the accuracy of the XGBoost algorithm model.     Results: Multivariate analysis and XGBoost…</t>
  </si>
  <si>
    <t>Study focuses on fetal growth, not preeclampsia</t>
  </si>
  <si>
    <t>3F764E83-488C-4937-A053-9C403A4AD47E</t>
  </si>
  <si>
    <t>xu_2025</t>
  </si>
  <si>
    <t>10.1186/s12884-025-07892-7</t>
  </si>
  <si>
    <t>Organ-system-based subclassification of preeclampsia using machine learning predicts pregnancy outcomes</t>
  </si>
  <si>
    <t>Background: Preeclampsia (PE) is a complex disorder with significant variability in organ involvement. It remains unclear whether machine learning can identify organ-system-based subclasses of PE. This study aimed to identify novel subclasses of PE using organ-system biomarkers to improve pregnancy outcome prediction. Methods: We retrospectively analyzed clinical data from PE patients at Fujian Maternity and Child Health Hospital. K-means clustering was applied using organ system function indicators, with 10-fold cross-validation. Functional indicators and pregnancy outcomes were compared across subclasses. Heatmap and sankey diagrams were used to reveal the distribution of patients across combined organ system clusters. Results: The analysis included 7,531 PE patients treated between 2013…</t>
  </si>
  <si>
    <t>Other</t>
  </si>
  <si>
    <t>The study does not focus on predicting pregnancy outcomes. It rather goes into systemic or organic problems derived from preeclampsia. The study may use Preeclampsia not as a target variable but as a feature characteristic.</t>
  </si>
  <si>
    <t>DOI: 10.1186/s12884-025-07892-7</t>
  </si>
  <si>
    <t>Formatting-only mismatch (trim/line break)</t>
  </si>
  <si>
    <t>EF8132E9-8022-4C39-817B-F3E7181D095D</t>
  </si>
  <si>
    <t>alghamdi_2025</t>
  </si>
  <si>
    <t>10.1007/s43995-025-00118-z</t>
  </si>
  <si>
    <t>Proactive healthcare: machine learning-driven insights into kidney failure prediction</t>
  </si>
  <si>
    <t>Kidney failure, a critical condition with increasing prevalence, necessitates early detection and management to mitigate its severe health impacts. In this study, we utilize the MIMIC-IV dataset to develop predictive models for identifying and forecasting kidney failure using advanced machine learning techniques. We aggregated medical records from patients diagnosed with kidney failure, alongside an equivalent dataset from non-kidney failure individuals, to train LSTM, random forest, and XGBoost models. Comprehensive data analysis was conducted to extract and evaluate key features related to kidney function, including correlations among lab events, prescriptions, and patient demographics. These insights informed the model development, enabling accurate classification of kidney failure base…</t>
  </si>
  <si>
    <t>Exclude/Context: Audit note indicates the record is not a PE/HDP-specific ML prediction study.</t>
  </si>
  <si>
    <t>This is a machine learning study on renal failure, using: Dataset: MIMIC-IV</t>
  </si>
  <si>
    <t>List name</t>
  </si>
  <si>
    <t>Allowed values / guidance</t>
  </si>
  <si>
    <t>Include; Exclude; Formatting only; Unclear/manual escalation</t>
  </si>
  <si>
    <t>Abstract book/poster compilation; Context/review/methodological reference; Not PE/HDP; Not ML/AI; Traditional statistical model without explicit ML/AI; Not individual-level PE/HDP prediction; Operational/service-demand forecasting; Insufficient abstract-level evidence; Duplicate/metadata problem; Other</t>
  </si>
  <si>
    <t>Primary PE/HDP ML/AI prediction; Primary ML/AI related PE complication/outcome; Include only for background/reference; Excluded from RQ denominators; Other</t>
  </si>
  <si>
    <t>Yes; No</t>
  </si>
  <si>
    <t>Yes; No; Not needed</t>
  </si>
  <si>
    <t>High; Medium; Low</t>
  </si>
  <si>
    <t>One or two sentences explaining why the final decision was made. Mention if full text or publisher/Crossref page was consulted.</t>
  </si>
  <si>
    <t>Formula-driven field. Do not overwrite unless necessary.</t>
  </si>
  <si>
    <t>Metric</t>
  </si>
  <si>
    <t>Value</t>
  </si>
  <si>
    <t>Formula / note</t>
  </si>
  <si>
    <t>Rows flagged in this file</t>
  </si>
  <si>
    <t>Includes 13 substantive conflicts + 1 formatting-only mismatch if present.</t>
  </si>
  <si>
    <t>Substantive decision conflicts</t>
  </si>
  <si>
    <t>These require team consensus.</t>
  </si>
  <si>
    <t>Formatting-only mismatches</t>
  </si>
  <si>
    <t>Usually only requires data cleanup.</t>
  </si>
  <si>
    <t>Consensus decisions completed</t>
  </si>
  <si>
    <t>Rows with a final decision.</t>
  </si>
  <si>
    <t>Consensus decisions pending</t>
  </si>
  <si>
    <t>Should be 0 before freezing the dataset.</t>
  </si>
  <si>
    <t>Includes after consensus</t>
  </si>
  <si>
    <t>Rows to add/keep in included dataset.</t>
  </si>
  <si>
    <t>Excludes after consensus</t>
  </si>
  <si>
    <t>Rows to exclude from RQ denominators.</t>
  </si>
  <si>
    <t>Generated on</t>
  </si>
  <si>
    <t>2026-06-12 23:48</t>
  </si>
  <si>
    <t>Generated from manual_verification_template_preeclampsia_ml_lleno.xlsx</t>
  </si>
  <si>
    <t>Purpose</t>
  </si>
  <si>
    <t>Use this workbook to resolve only the eligibility conflicts detected between the two independent reviewers. Do not edit reviewer-original columns except for obvious typos in notes. Fill the consensus columns Y:AG.</t>
  </si>
  <si>
    <t>How to fill</t>
  </si>
  <si>
    <t>For each substantive conflict, decide Include or Exclude. Use the controlled exclusion reason and inclusion scope. Add a short rationale. Mark whether full text and/or DOI/Crossref/publisher page was used.</t>
  </si>
  <si>
    <t>Important</t>
  </si>
  <si>
    <t>One row is marked as formatting-only if decisions match after trimming spaces/line breaks. It can be cleaned without discussion unless the team wants to verify it.</t>
  </si>
  <si>
    <t>After completion</t>
  </si>
  <si>
    <t>Return this workbook to consolidate the final dataset. The Summary sheet should show 0 pending consensus decisions.</t>
  </si>
  <si>
    <t>Primary ML/AI related PE complication/outcome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</si>
</sst>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9"/>
      <name val="Carlito"/>
    </font>
    <font>
      <sz val="9"/>
      <color rgb="FFFF000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wrapText="1"/>
    </xf>
    <xf numFmtId="0" fontId="0" fillId="2" borderId="0" xfId="0" applyFill="1" applyAlignment="1">
      <alignment wrapText="1"/>
    </xf>
    <xf numFmtId="0" fontId="3" fillId="0" borderId="0" xfId="0" applyFont="1" applyAlignment="1">
      <alignment vertical="top" wrapText="1"/>
    </xf>
    <xf numFmtId="14" fontId="2" fillId="0" borderId="0" xfId="0" applyNumberFormat="1" applyFont="1" applyAlignment="1">
      <alignment vertical="top" wrapText="1"/>
    </xf>
  </cellXfs>
  <cellStyles count="1">
    <cellStyle name="Normal" xfId="0" builtinId="0"/>
  </cellStyles>
  <dxfs count="3">
    <dxf>
      <fill>
        <patternFill patternType="solid">
          <bgColor rgb="FFFEE2E2"/>
        </patternFill>
      </fill>
    </dxf>
    <dxf>
      <fill>
        <patternFill patternType="solid">
          <bgColor rgb="FFE0F2FE"/>
        </patternFill>
      </fill>
    </dxf>
    <dxf>
      <fill>
        <patternFill patternType="solid">
          <bgColor rgb="FFFEF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ligibilityConflictTable" displayName="EligibilityConflictTable" ref="A1:AH15">
  <tableColumns count="34">
    <tableColumn id="1" xr3:uid="{00000000-0010-0000-0000-000001000000}" name="ConflictID"/>
    <tableColumn id="2" xr3:uid="{00000000-0010-0000-0000-000002000000}" name="Conflict type"/>
    <tableColumn id="3" xr3:uid="{00000000-0010-0000-0000-000003000000}" name="EntryID"/>
    <tableColumn id="4" xr3:uid="{00000000-0010-0000-0000-000004000000}" name="EntryKey"/>
    <tableColumn id="5" xr3:uid="{00000000-0010-0000-0000-000005000000}" name="Year"/>
    <tableColumn id="6" xr3:uid="{00000000-0010-0000-0000-000006000000}" name="SourceDatabase"/>
    <tableColumn id="7" xr3:uid="{00000000-0010-0000-0000-000007000000}" name="DOI"/>
    <tableColumn id="8" xr3:uid="{00000000-0010-0000-0000-000008000000}" name="Title"/>
    <tableColumn id="9" xr3:uid="{00000000-0010-0000-0000-000009000000}" name="Abstract snippet"/>
    <tableColumn id="10" xr3:uid="{00000000-0010-0000-0000-00000A000000}" name="Previous audit recommendation"/>
    <tableColumn id="11" xr3:uid="{00000000-0010-0000-0000-00000B000000}" name="R1 initials"/>
    <tableColumn id="12" xr3:uid="{00000000-0010-0000-0000-00000C000000}" name="R1 decision"/>
    <tableColumn id="13" xr3:uid="{00000000-0010-0000-0000-00000D000000}" name="R1 reason"/>
    <tableColumn id="14" xr3:uid="{00000000-0010-0000-0000-00000E000000}" name="R1 confidence"/>
    <tableColumn id="15" xr3:uid="{00000000-0010-0000-0000-00000F000000}" name="R1 full text consulted?"/>
    <tableColumn id="16" xr3:uid="{00000000-0010-0000-0000-000010000000}" name="R1 DOI/Crossref issue?"/>
    <tableColumn id="17" xr3:uid="{00000000-0010-0000-0000-000011000000}" name="R1 notes"/>
    <tableColumn id="18" xr3:uid="{00000000-0010-0000-0000-000012000000}" name="R2 initials"/>
    <tableColumn id="19" xr3:uid="{00000000-0010-0000-0000-000013000000}" name="R2 decision"/>
    <tableColumn id="20" xr3:uid="{00000000-0010-0000-0000-000014000000}" name="R2 reason"/>
    <tableColumn id="21" xr3:uid="{00000000-0010-0000-0000-000015000000}" name="R2 confidence"/>
    <tableColumn id="22" xr3:uid="{00000000-0010-0000-0000-000016000000}" name="R2 full text consulted?"/>
    <tableColumn id="23" xr3:uid="{00000000-0010-0000-0000-000017000000}" name="R2 DOI/Crossref issue?"/>
    <tableColumn id="24" xr3:uid="{00000000-0010-0000-0000-000018000000}" name="R2 notes"/>
    <tableColumn id="25" xr3:uid="{00000000-0010-0000-0000-000019000000}" name="Final consensus decision"/>
    <tableColumn id="26" xr3:uid="{00000000-0010-0000-0000-00001A000000}" name="Final exclusion reason"/>
    <tableColumn id="27" xr3:uid="{00000000-0010-0000-0000-00001B000000}" name="Final inclusion scope"/>
    <tableColumn id="28" xr3:uid="{00000000-0010-0000-0000-00001C000000}" name="Full text used in consensus?"/>
    <tableColumn id="29" xr3:uid="{00000000-0010-0000-0000-00001D000000}" name="DOI/Crossref verified?"/>
    <tableColumn id="30" xr3:uid="{00000000-0010-0000-0000-00001E000000}" name="Consensus confidence"/>
    <tableColumn id="31" xr3:uid="{00000000-0010-0000-0000-00001F000000}" name="Consensus notes / rationale"/>
    <tableColumn id="32" xr3:uid="{00000000-0010-0000-0000-000020000000}" name="Consensus owner"/>
    <tableColumn id="33" xr3:uid="{00000000-0010-0000-0000-000021000000}" name="Date resolved"/>
    <tableColumn id="34" xr3:uid="{00000000-0010-0000-0000-000022000000}" name="Action for datase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
  <sheetViews>
    <sheetView tabSelected="1" topLeftCell="Y1" zoomScale="115" zoomScaleNormal="115" workbookViewId="0">
      <selection activeCell="AG8" sqref="AG8"/>
    </sheetView>
  </sheetViews>
  <sheetFormatPr defaultColWidth="9" defaultRowHeight="14.15"/>
  <cols>
    <col min="1" max="1" width="8" customWidth="1"/>
    <col min="2" max="2" width="24" customWidth="1"/>
    <col min="3" max="3" width="18" customWidth="1"/>
    <col min="4" max="4" width="24" customWidth="1"/>
    <col min="5" max="5" width="8" customWidth="1"/>
    <col min="6" max="6" width="14" customWidth="1"/>
    <col min="7" max="7" width="22" customWidth="1"/>
    <col min="8" max="8" width="42" customWidth="1"/>
    <col min="9" max="9" width="45" customWidth="1"/>
    <col min="10" max="10" width="42" customWidth="1"/>
    <col min="11" max="11" width="10" customWidth="1"/>
    <col min="12" max="12" width="12" customWidth="1"/>
    <col min="13" max="13" width="28" customWidth="1"/>
    <col min="14" max="14" width="12" customWidth="1"/>
    <col min="15" max="16" width="13" customWidth="1"/>
    <col min="17" max="17" width="38" customWidth="1"/>
    <col min="18" max="18" width="10" customWidth="1"/>
    <col min="19" max="19" width="12" customWidth="1"/>
    <col min="20" max="20" width="28" customWidth="1"/>
    <col min="21" max="21" width="12" customWidth="1"/>
    <col min="22" max="23" width="13" customWidth="1"/>
    <col min="24" max="24" width="38" customWidth="1"/>
    <col min="25" max="25" width="18" customWidth="1"/>
    <col min="26" max="26" width="28" customWidth="1"/>
    <col min="27" max="27" width="26" customWidth="1"/>
    <col min="28" max="29" width="16" customWidth="1"/>
    <col min="30" max="30" width="18" customWidth="1"/>
    <col min="31" max="31" width="48" customWidth="1"/>
    <col min="32" max="32" width="16" customWidth="1"/>
    <col min="33" max="33" width="14" customWidth="1"/>
    <col min="34" max="34" width="30" customWidth="1"/>
  </cols>
  <sheetData>
    <row r="1" spans="1:34" ht="4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41.15" customHeight="1">
      <c r="A2" s="2">
        <v>1</v>
      </c>
      <c r="B2" s="2" t="s">
        <v>34</v>
      </c>
      <c r="C2" s="2" t="s">
        <v>35</v>
      </c>
      <c r="D2" s="2" t="s">
        <v>36</v>
      </c>
      <c r="E2" s="2" t="s">
        <v>37</v>
      </c>
      <c r="F2" s="2" t="s">
        <v>38</v>
      </c>
      <c r="G2" s="2" t="s">
        <v>39</v>
      </c>
      <c r="H2" s="2" t="s">
        <v>40</v>
      </c>
      <c r="I2" s="2" t="s">
        <v>41</v>
      </c>
      <c r="J2" s="2" t="s">
        <v>42</v>
      </c>
      <c r="K2" s="2" t="s">
        <v>43</v>
      </c>
      <c r="L2" s="2" t="s">
        <v>44</v>
      </c>
      <c r="M2" s="2"/>
      <c r="N2" s="2" t="s">
        <v>45</v>
      </c>
      <c r="O2" s="2" t="s">
        <v>46</v>
      </c>
      <c r="P2" s="2" t="s">
        <v>46</v>
      </c>
      <c r="Q2" s="2"/>
      <c r="R2" s="2" t="s">
        <v>47</v>
      </c>
      <c r="S2" s="2" t="s">
        <v>44</v>
      </c>
      <c r="T2" s="2"/>
      <c r="U2" s="2" t="s">
        <v>45</v>
      </c>
      <c r="V2" s="2" t="s">
        <v>46</v>
      </c>
      <c r="W2" s="2" t="s">
        <v>46</v>
      </c>
      <c r="X2" s="2"/>
      <c r="Y2" s="5" t="s">
        <v>44</v>
      </c>
      <c r="Z2" s="2"/>
      <c r="AA2" s="2" t="s">
        <v>186</v>
      </c>
      <c r="AB2" s="2" t="s">
        <v>46</v>
      </c>
      <c r="AC2" s="2" t="s">
        <v>91</v>
      </c>
      <c r="AD2" s="2" t="s">
        <v>45</v>
      </c>
      <c r="AE2" s="2"/>
      <c r="AF2" s="2" t="s">
        <v>47</v>
      </c>
      <c r="AG2" s="6">
        <v>46185</v>
      </c>
      <c r="AH2" s="2" t="str">
        <f t="shared" ref="AH2:AH15" si="0">IF(Y2="Include","Keep in final included dataset",IF(Y2="Exclude","Exclude from final included dataset",IF(Y2="Formatting only","Clean formatting only","Pending consensus")))</f>
        <v>Keep in final included dataset</v>
      </c>
    </row>
    <row r="3" spans="1:34" ht="41.15" customHeight="1">
      <c r="A3" s="2">
        <v>2</v>
      </c>
      <c r="B3" s="2" t="s">
        <v>34</v>
      </c>
      <c r="C3" s="2" t="s">
        <v>49</v>
      </c>
      <c r="D3" s="2" t="s">
        <v>50</v>
      </c>
      <c r="E3" s="2" t="s">
        <v>37</v>
      </c>
      <c r="F3" s="2" t="s">
        <v>38</v>
      </c>
      <c r="G3" s="2" t="s">
        <v>51</v>
      </c>
      <c r="H3" s="2" t="s">
        <v>52</v>
      </c>
      <c r="I3" s="2" t="s">
        <v>53</v>
      </c>
      <c r="J3" s="2" t="s">
        <v>42</v>
      </c>
      <c r="K3" s="2" t="s">
        <v>43</v>
      </c>
      <c r="L3" s="2" t="s">
        <v>48</v>
      </c>
      <c r="M3" s="2" t="s">
        <v>56</v>
      </c>
      <c r="N3" s="2" t="s">
        <v>54</v>
      </c>
      <c r="O3" s="2" t="s">
        <v>46</v>
      </c>
      <c r="P3" s="2" t="s">
        <v>46</v>
      </c>
      <c r="Q3" s="2" t="s">
        <v>55</v>
      </c>
      <c r="R3" s="2" t="s">
        <v>47</v>
      </c>
      <c r="S3" s="2" t="s">
        <v>48</v>
      </c>
      <c r="T3" s="2" t="s">
        <v>56</v>
      </c>
      <c r="U3" s="2" t="s">
        <v>45</v>
      </c>
      <c r="V3" s="2" t="s">
        <v>46</v>
      </c>
      <c r="W3" s="2" t="s">
        <v>46</v>
      </c>
      <c r="X3" s="2" t="s">
        <v>57</v>
      </c>
      <c r="Y3" s="2" t="s">
        <v>48</v>
      </c>
      <c r="Z3" s="2" t="s">
        <v>56</v>
      </c>
      <c r="AA3" s="2"/>
      <c r="AB3" s="2" t="s">
        <v>46</v>
      </c>
      <c r="AC3" s="2" t="s">
        <v>91</v>
      </c>
      <c r="AD3" s="2" t="s">
        <v>54</v>
      </c>
      <c r="AE3" s="2"/>
      <c r="AF3" s="2" t="s">
        <v>47</v>
      </c>
      <c r="AG3" s="6">
        <v>46185</v>
      </c>
      <c r="AH3" s="2" t="str">
        <f t="shared" si="0"/>
        <v>Exclude from final included dataset</v>
      </c>
    </row>
    <row r="4" spans="1:34" ht="41.15" customHeight="1">
      <c r="A4" s="2">
        <v>3</v>
      </c>
      <c r="B4" s="2" t="s">
        <v>34</v>
      </c>
      <c r="C4" s="2" t="s">
        <v>58</v>
      </c>
      <c r="D4" s="2" t="s">
        <v>59</v>
      </c>
      <c r="E4" s="2" t="s">
        <v>60</v>
      </c>
      <c r="F4" s="2" t="s">
        <v>61</v>
      </c>
      <c r="G4" s="2" t="s">
        <v>62</v>
      </c>
      <c r="H4" s="2" t="s">
        <v>63</v>
      </c>
      <c r="I4" s="2" t="s">
        <v>64</v>
      </c>
      <c r="J4" s="2" t="s">
        <v>65</v>
      </c>
      <c r="K4" s="2" t="s">
        <v>43</v>
      </c>
      <c r="L4" s="2" t="s">
        <v>48</v>
      </c>
      <c r="M4" s="2" t="s">
        <v>56</v>
      </c>
      <c r="N4" s="2" t="s">
        <v>45</v>
      </c>
      <c r="O4" s="2" t="s">
        <v>46</v>
      </c>
      <c r="P4" s="2" t="s">
        <v>46</v>
      </c>
      <c r="Q4" s="2"/>
      <c r="R4" s="2" t="s">
        <v>47</v>
      </c>
      <c r="S4" s="2" t="s">
        <v>48</v>
      </c>
      <c r="T4" s="2" t="s">
        <v>56</v>
      </c>
      <c r="U4" s="2" t="s">
        <v>45</v>
      </c>
      <c r="V4" s="2" t="s">
        <v>46</v>
      </c>
      <c r="W4" s="2" t="s">
        <v>46</v>
      </c>
      <c r="X4" s="2"/>
      <c r="Y4" s="2" t="s">
        <v>48</v>
      </c>
      <c r="Z4" s="2" t="s">
        <v>56</v>
      </c>
      <c r="AA4" s="2"/>
      <c r="AB4" s="2" t="s">
        <v>46</v>
      </c>
      <c r="AC4" s="2" t="s">
        <v>91</v>
      </c>
      <c r="AD4" s="2" t="s">
        <v>54</v>
      </c>
      <c r="AE4" s="2"/>
      <c r="AF4" s="2" t="s">
        <v>47</v>
      </c>
      <c r="AG4" s="6">
        <v>46185</v>
      </c>
      <c r="AH4" s="2" t="str">
        <f t="shared" si="0"/>
        <v>Exclude from final included dataset</v>
      </c>
    </row>
    <row r="5" spans="1:34" ht="41.15" customHeight="1">
      <c r="A5" s="2">
        <v>4</v>
      </c>
      <c r="B5" s="2" t="s">
        <v>34</v>
      </c>
      <c r="C5" s="2" t="s">
        <v>66</v>
      </c>
      <c r="D5" s="2" t="s">
        <v>67</v>
      </c>
      <c r="E5" s="2" t="s">
        <v>60</v>
      </c>
      <c r="F5" s="2" t="s">
        <v>68</v>
      </c>
      <c r="G5" s="2" t="s">
        <v>69</v>
      </c>
      <c r="H5" s="2" t="s">
        <v>70</v>
      </c>
      <c r="I5" s="2" t="s">
        <v>71</v>
      </c>
      <c r="J5" s="2" t="s">
        <v>72</v>
      </c>
      <c r="K5" s="2" t="s">
        <v>43</v>
      </c>
      <c r="L5" s="2" t="s">
        <v>48</v>
      </c>
      <c r="M5" s="2" t="s">
        <v>56</v>
      </c>
      <c r="N5" s="2" t="s">
        <v>45</v>
      </c>
      <c r="O5" s="2" t="s">
        <v>46</v>
      </c>
      <c r="P5" s="2" t="s">
        <v>46</v>
      </c>
      <c r="Q5" s="2"/>
      <c r="R5" s="2" t="s">
        <v>47</v>
      </c>
      <c r="S5" s="2" t="s">
        <v>48</v>
      </c>
      <c r="T5" s="2" t="s">
        <v>56</v>
      </c>
      <c r="U5" s="2" t="s">
        <v>54</v>
      </c>
      <c r="V5" s="2"/>
      <c r="W5" s="2" t="s">
        <v>46</v>
      </c>
      <c r="X5" s="2"/>
      <c r="Y5" s="2" t="s">
        <v>48</v>
      </c>
      <c r="Z5" s="2" t="s">
        <v>56</v>
      </c>
      <c r="AA5" s="2"/>
      <c r="AB5" s="2" t="s">
        <v>46</v>
      </c>
      <c r="AC5" s="2" t="s">
        <v>91</v>
      </c>
      <c r="AD5" s="2" t="s">
        <v>54</v>
      </c>
      <c r="AE5" s="2"/>
      <c r="AF5" s="2" t="s">
        <v>47</v>
      </c>
      <c r="AG5" s="6">
        <v>46185</v>
      </c>
      <c r="AH5" s="2" t="str">
        <f t="shared" si="0"/>
        <v>Exclude from final included dataset</v>
      </c>
    </row>
    <row r="6" spans="1:34" ht="41.15" customHeight="1">
      <c r="A6" s="2">
        <v>5</v>
      </c>
      <c r="B6" s="2" t="s">
        <v>34</v>
      </c>
      <c r="C6" s="2" t="s">
        <v>73</v>
      </c>
      <c r="D6" s="2" t="s">
        <v>74</v>
      </c>
      <c r="E6" s="2" t="s">
        <v>75</v>
      </c>
      <c r="F6" s="2" t="s">
        <v>38</v>
      </c>
      <c r="G6" s="2" t="s">
        <v>76</v>
      </c>
      <c r="H6" s="2" t="s">
        <v>77</v>
      </c>
      <c r="I6" s="2" t="s">
        <v>78</v>
      </c>
      <c r="J6" s="2" t="s">
        <v>79</v>
      </c>
      <c r="K6" s="2" t="s">
        <v>43</v>
      </c>
      <c r="L6" s="2" t="s">
        <v>48</v>
      </c>
      <c r="M6" s="2" t="s">
        <v>56</v>
      </c>
      <c r="N6" s="2" t="s">
        <v>54</v>
      </c>
      <c r="O6" s="2" t="s">
        <v>46</v>
      </c>
      <c r="P6" s="2" t="s">
        <v>46</v>
      </c>
      <c r="Q6" s="2" t="s">
        <v>80</v>
      </c>
      <c r="R6" s="2" t="s">
        <v>47</v>
      </c>
      <c r="S6" s="2" t="s">
        <v>48</v>
      </c>
      <c r="T6" s="2" t="s">
        <v>56</v>
      </c>
      <c r="U6" s="2" t="s">
        <v>45</v>
      </c>
      <c r="V6" s="2" t="s">
        <v>46</v>
      </c>
      <c r="W6" s="2" t="s">
        <v>46</v>
      </c>
      <c r="X6" s="2" t="s">
        <v>82</v>
      </c>
      <c r="Y6" s="2" t="s">
        <v>48</v>
      </c>
      <c r="Z6" s="2" t="s">
        <v>56</v>
      </c>
      <c r="AA6" s="2"/>
      <c r="AB6" s="2" t="s">
        <v>46</v>
      </c>
      <c r="AC6" s="2" t="s">
        <v>91</v>
      </c>
      <c r="AD6" s="2" t="s">
        <v>54</v>
      </c>
      <c r="AE6" s="2"/>
      <c r="AF6" s="2" t="s">
        <v>47</v>
      </c>
      <c r="AG6" s="6">
        <v>46185</v>
      </c>
      <c r="AH6" s="2" t="str">
        <f t="shared" si="0"/>
        <v>Exclude from final included dataset</v>
      </c>
    </row>
    <row r="7" spans="1:34" ht="41.15" customHeight="1">
      <c r="A7" s="2">
        <v>6</v>
      </c>
      <c r="B7" s="2" t="s">
        <v>34</v>
      </c>
      <c r="C7" s="2" t="s">
        <v>83</v>
      </c>
      <c r="D7" s="2" t="s">
        <v>84</v>
      </c>
      <c r="E7" s="2" t="s">
        <v>85</v>
      </c>
      <c r="F7" s="2" t="s">
        <v>86</v>
      </c>
      <c r="G7" s="2" t="s">
        <v>87</v>
      </c>
      <c r="H7" s="2" t="s">
        <v>88</v>
      </c>
      <c r="I7" s="2" t="s">
        <v>89</v>
      </c>
      <c r="J7" s="2" t="s">
        <v>90</v>
      </c>
      <c r="K7" s="2" t="s">
        <v>43</v>
      </c>
      <c r="L7" s="2" t="s">
        <v>44</v>
      </c>
      <c r="M7" s="2"/>
      <c r="N7" s="2" t="s">
        <v>45</v>
      </c>
      <c r="O7" s="2" t="s">
        <v>46</v>
      </c>
      <c r="P7" s="2" t="s">
        <v>46</v>
      </c>
      <c r="Q7" s="2"/>
      <c r="R7" s="2" t="s">
        <v>47</v>
      </c>
      <c r="S7" s="2" t="s">
        <v>44</v>
      </c>
      <c r="T7" s="2"/>
      <c r="U7" s="2" t="s">
        <v>45</v>
      </c>
      <c r="V7" s="2" t="s">
        <v>91</v>
      </c>
      <c r="W7" s="2" t="s">
        <v>91</v>
      </c>
      <c r="X7" s="2" t="s">
        <v>92</v>
      </c>
      <c r="Y7" s="5" t="s">
        <v>44</v>
      </c>
      <c r="Z7" s="2"/>
      <c r="AA7" s="2" t="s">
        <v>186</v>
      </c>
      <c r="AB7" s="2" t="s">
        <v>46</v>
      </c>
      <c r="AC7" s="2" t="s">
        <v>91</v>
      </c>
      <c r="AD7" s="2" t="s">
        <v>45</v>
      </c>
      <c r="AE7" s="2"/>
      <c r="AF7" s="2" t="s">
        <v>47</v>
      </c>
      <c r="AG7" s="6">
        <v>46185</v>
      </c>
      <c r="AH7" s="2" t="str">
        <f t="shared" si="0"/>
        <v>Keep in final included dataset</v>
      </c>
    </row>
    <row r="8" spans="1:34" ht="41.15" customHeight="1">
      <c r="A8" s="2">
        <v>7</v>
      </c>
      <c r="B8" s="2" t="s">
        <v>34</v>
      </c>
      <c r="C8" s="2" t="s">
        <v>93</v>
      </c>
      <c r="D8" s="2" t="s">
        <v>94</v>
      </c>
      <c r="E8" s="2" t="s">
        <v>60</v>
      </c>
      <c r="F8" s="2" t="s">
        <v>95</v>
      </c>
      <c r="G8" s="2" t="s">
        <v>96</v>
      </c>
      <c r="H8" s="2" t="s">
        <v>97</v>
      </c>
      <c r="I8" s="2" t="s">
        <v>98</v>
      </c>
      <c r="J8" s="2" t="s">
        <v>42</v>
      </c>
      <c r="K8" s="2" t="s">
        <v>43</v>
      </c>
      <c r="L8" s="2" t="s">
        <v>48</v>
      </c>
      <c r="M8" s="2" t="s">
        <v>81</v>
      </c>
      <c r="N8" s="2" t="s">
        <v>45</v>
      </c>
      <c r="O8" s="2" t="s">
        <v>46</v>
      </c>
      <c r="P8" s="2" t="s">
        <v>46</v>
      </c>
      <c r="Q8" s="2" t="s">
        <v>99</v>
      </c>
      <c r="R8" s="2" t="s">
        <v>47</v>
      </c>
      <c r="S8" s="2" t="s">
        <v>48</v>
      </c>
      <c r="T8" s="2" t="s">
        <v>81</v>
      </c>
      <c r="U8" s="2" t="s">
        <v>45</v>
      </c>
      <c r="V8" s="2" t="s">
        <v>46</v>
      </c>
      <c r="W8" s="2" t="s">
        <v>46</v>
      </c>
      <c r="X8" s="2"/>
      <c r="Y8" s="2" t="s">
        <v>48</v>
      </c>
      <c r="Z8" s="2" t="s">
        <v>56</v>
      </c>
      <c r="AA8" s="2"/>
      <c r="AB8" s="2" t="s">
        <v>46</v>
      </c>
      <c r="AC8" s="2" t="s">
        <v>91</v>
      </c>
      <c r="AD8" s="2" t="s">
        <v>54</v>
      </c>
      <c r="AE8" s="2"/>
      <c r="AF8" s="2" t="s">
        <v>47</v>
      </c>
      <c r="AG8" s="6">
        <v>46185</v>
      </c>
      <c r="AH8" s="2" t="str">
        <f t="shared" si="0"/>
        <v>Exclude from final included dataset</v>
      </c>
    </row>
    <row r="9" spans="1:34" ht="41.15" customHeight="1">
      <c r="A9" s="2">
        <v>8</v>
      </c>
      <c r="B9" s="2" t="s">
        <v>34</v>
      </c>
      <c r="C9" s="2" t="s">
        <v>100</v>
      </c>
      <c r="D9" s="2" t="s">
        <v>101</v>
      </c>
      <c r="E9" s="2" t="s">
        <v>37</v>
      </c>
      <c r="F9" s="2" t="s">
        <v>95</v>
      </c>
      <c r="G9" s="2" t="s">
        <v>102</v>
      </c>
      <c r="H9" s="2" t="s">
        <v>103</v>
      </c>
      <c r="I9" s="2" t="s">
        <v>104</v>
      </c>
      <c r="J9" s="2" t="s">
        <v>42</v>
      </c>
      <c r="K9" s="2" t="s">
        <v>43</v>
      </c>
      <c r="L9" s="2" t="s">
        <v>48</v>
      </c>
      <c r="M9" s="2" t="s">
        <v>56</v>
      </c>
      <c r="N9" s="2" t="s">
        <v>45</v>
      </c>
      <c r="O9" s="2" t="s">
        <v>46</v>
      </c>
      <c r="P9" s="2" t="s">
        <v>46</v>
      </c>
      <c r="Q9" s="2"/>
      <c r="R9" s="2" t="s">
        <v>47</v>
      </c>
      <c r="S9" s="2" t="s">
        <v>48</v>
      </c>
      <c r="T9" s="2" t="s">
        <v>56</v>
      </c>
      <c r="U9" s="2" t="s">
        <v>45</v>
      </c>
      <c r="V9" s="2" t="s">
        <v>46</v>
      </c>
      <c r="W9" s="2" t="s">
        <v>91</v>
      </c>
      <c r="X9" s="2" t="s">
        <v>105</v>
      </c>
      <c r="Y9" s="2" t="s">
        <v>48</v>
      </c>
      <c r="Z9" s="2" t="s">
        <v>56</v>
      </c>
      <c r="AA9" s="2"/>
      <c r="AB9" s="2" t="s">
        <v>46</v>
      </c>
      <c r="AC9" s="2" t="s">
        <v>91</v>
      </c>
      <c r="AD9" s="2" t="s">
        <v>54</v>
      </c>
      <c r="AE9" s="2"/>
      <c r="AF9" s="2" t="s">
        <v>47</v>
      </c>
      <c r="AG9" s="6">
        <v>46185</v>
      </c>
      <c r="AH9" s="2" t="str">
        <f t="shared" si="0"/>
        <v>Exclude from final included dataset</v>
      </c>
    </row>
    <row r="10" spans="1:34" ht="41.15" customHeight="1">
      <c r="A10" s="2">
        <v>9</v>
      </c>
      <c r="B10" s="2" t="s">
        <v>34</v>
      </c>
      <c r="C10" s="2" t="s">
        <v>106</v>
      </c>
      <c r="D10" s="2" t="s">
        <v>107</v>
      </c>
      <c r="E10" s="2" t="s">
        <v>108</v>
      </c>
      <c r="F10" s="2" t="s">
        <v>86</v>
      </c>
      <c r="G10" s="2" t="s">
        <v>109</v>
      </c>
      <c r="H10" s="2" t="s">
        <v>110</v>
      </c>
      <c r="I10" s="2" t="s">
        <v>111</v>
      </c>
      <c r="J10" s="2" t="s">
        <v>112</v>
      </c>
      <c r="K10" s="2" t="s">
        <v>43</v>
      </c>
      <c r="L10" s="2" t="s">
        <v>48</v>
      </c>
      <c r="M10" s="2" t="s">
        <v>113</v>
      </c>
      <c r="N10" s="2" t="s">
        <v>45</v>
      </c>
      <c r="O10" s="2" t="s">
        <v>46</v>
      </c>
      <c r="P10" s="2" t="s">
        <v>46</v>
      </c>
      <c r="Q10" s="2"/>
      <c r="R10" s="2" t="s">
        <v>47</v>
      </c>
      <c r="S10" s="2" t="s">
        <v>48</v>
      </c>
      <c r="T10" s="2" t="s">
        <v>113</v>
      </c>
      <c r="U10" s="2" t="s">
        <v>45</v>
      </c>
      <c r="V10" s="2"/>
      <c r="W10" s="2" t="s">
        <v>46</v>
      </c>
      <c r="X10" s="2"/>
      <c r="Y10" s="2" t="s">
        <v>48</v>
      </c>
      <c r="Z10" s="2" t="s">
        <v>56</v>
      </c>
      <c r="AA10" s="2"/>
      <c r="AB10" s="2" t="s">
        <v>46</v>
      </c>
      <c r="AC10" s="2" t="s">
        <v>91</v>
      </c>
      <c r="AD10" s="2" t="s">
        <v>54</v>
      </c>
      <c r="AE10" s="2"/>
      <c r="AF10" s="2" t="s">
        <v>47</v>
      </c>
      <c r="AG10" s="6">
        <v>46185</v>
      </c>
      <c r="AH10" s="2" t="str">
        <f t="shared" si="0"/>
        <v>Exclude from final included dataset</v>
      </c>
    </row>
    <row r="11" spans="1:34" ht="41.15" customHeight="1">
      <c r="A11" s="2">
        <v>10</v>
      </c>
      <c r="B11" s="2" t="s">
        <v>34</v>
      </c>
      <c r="C11" s="2" t="s">
        <v>114</v>
      </c>
      <c r="D11" s="2" t="s">
        <v>115</v>
      </c>
      <c r="E11" s="2" t="s">
        <v>116</v>
      </c>
      <c r="F11" s="2" t="s">
        <v>117</v>
      </c>
      <c r="G11" s="2" t="s">
        <v>118</v>
      </c>
      <c r="H11" s="2" t="s">
        <v>119</v>
      </c>
      <c r="I11" s="2" t="s">
        <v>120</v>
      </c>
      <c r="J11" s="2" t="s">
        <v>112</v>
      </c>
      <c r="K11" s="2" t="s">
        <v>43</v>
      </c>
      <c r="L11" s="2" t="s">
        <v>48</v>
      </c>
      <c r="M11" s="2" t="s">
        <v>113</v>
      </c>
      <c r="N11" s="2" t="s">
        <v>45</v>
      </c>
      <c r="O11" s="2" t="s">
        <v>46</v>
      </c>
      <c r="P11" s="2" t="s">
        <v>46</v>
      </c>
      <c r="Q11" s="2"/>
      <c r="R11" s="2" t="s">
        <v>47</v>
      </c>
      <c r="S11" s="2" t="s">
        <v>48</v>
      </c>
      <c r="T11" s="2" t="s">
        <v>113</v>
      </c>
      <c r="U11" s="2" t="s">
        <v>45</v>
      </c>
      <c r="V11" s="2" t="s">
        <v>46</v>
      </c>
      <c r="W11" s="2" t="s">
        <v>46</v>
      </c>
      <c r="X11" s="2"/>
      <c r="Y11" s="2" t="s">
        <v>48</v>
      </c>
      <c r="Z11" s="2" t="s">
        <v>56</v>
      </c>
      <c r="AA11" s="2"/>
      <c r="AB11" s="2" t="s">
        <v>46</v>
      </c>
      <c r="AC11" s="2" t="s">
        <v>91</v>
      </c>
      <c r="AD11" s="2" t="s">
        <v>54</v>
      </c>
      <c r="AE11" s="2"/>
      <c r="AF11" s="2" t="s">
        <v>47</v>
      </c>
      <c r="AG11" s="6">
        <v>46185</v>
      </c>
      <c r="AH11" s="2" t="str">
        <f t="shared" si="0"/>
        <v>Exclude from final included dataset</v>
      </c>
    </row>
    <row r="12" spans="1:34" ht="41.15" customHeight="1">
      <c r="A12" s="2">
        <v>11</v>
      </c>
      <c r="B12" s="2" t="s">
        <v>34</v>
      </c>
      <c r="C12" s="2" t="s">
        <v>121</v>
      </c>
      <c r="D12" s="2" t="s">
        <v>122</v>
      </c>
      <c r="E12" s="2" t="s">
        <v>60</v>
      </c>
      <c r="F12" s="2" t="s">
        <v>61</v>
      </c>
      <c r="G12" s="2" t="s">
        <v>123</v>
      </c>
      <c r="H12" s="2" t="s">
        <v>124</v>
      </c>
      <c r="I12" s="2" t="s">
        <v>125</v>
      </c>
      <c r="J12" s="2" t="s">
        <v>72</v>
      </c>
      <c r="K12" s="2" t="s">
        <v>43</v>
      </c>
      <c r="L12" s="2" t="s">
        <v>48</v>
      </c>
      <c r="M12" s="2" t="s">
        <v>56</v>
      </c>
      <c r="N12" s="2" t="s">
        <v>45</v>
      </c>
      <c r="O12" s="2" t="s">
        <v>46</v>
      </c>
      <c r="P12" s="2" t="s">
        <v>46</v>
      </c>
      <c r="Q12" s="2"/>
      <c r="R12" s="2" t="s">
        <v>47</v>
      </c>
      <c r="S12" s="2" t="s">
        <v>48</v>
      </c>
      <c r="T12" s="2" t="s">
        <v>56</v>
      </c>
      <c r="U12" s="2" t="s">
        <v>54</v>
      </c>
      <c r="V12" s="2" t="s">
        <v>46</v>
      </c>
      <c r="W12" s="2" t="s">
        <v>46</v>
      </c>
      <c r="X12" s="2"/>
      <c r="Y12" s="2" t="s">
        <v>48</v>
      </c>
      <c r="Z12" s="2" t="s">
        <v>56</v>
      </c>
      <c r="AA12" s="2"/>
      <c r="AB12" s="2" t="s">
        <v>46</v>
      </c>
      <c r="AC12" s="2" t="s">
        <v>91</v>
      </c>
      <c r="AD12" s="2" t="s">
        <v>54</v>
      </c>
      <c r="AE12" s="2"/>
      <c r="AF12" s="2" t="s">
        <v>47</v>
      </c>
      <c r="AG12" s="6">
        <v>46185</v>
      </c>
      <c r="AH12" s="2" t="str">
        <f t="shared" si="0"/>
        <v>Exclude from final included dataset</v>
      </c>
    </row>
    <row r="13" spans="1:34" ht="41.15" customHeight="1">
      <c r="A13" s="2">
        <v>12</v>
      </c>
      <c r="B13" s="2" t="s">
        <v>34</v>
      </c>
      <c r="C13" s="2" t="s">
        <v>126</v>
      </c>
      <c r="D13" s="2" t="s">
        <v>127</v>
      </c>
      <c r="E13" s="2" t="s">
        <v>60</v>
      </c>
      <c r="F13" s="2" t="s">
        <v>38</v>
      </c>
      <c r="G13" s="2" t="s">
        <v>128</v>
      </c>
      <c r="H13" s="2" t="s">
        <v>129</v>
      </c>
      <c r="I13" s="2" t="s">
        <v>130</v>
      </c>
      <c r="J13" s="2" t="s">
        <v>79</v>
      </c>
      <c r="K13" s="2" t="s">
        <v>43</v>
      </c>
      <c r="L13" s="2" t="s">
        <v>48</v>
      </c>
      <c r="M13" s="2" t="s">
        <v>56</v>
      </c>
      <c r="N13" s="2" t="s">
        <v>45</v>
      </c>
      <c r="O13" s="2" t="s">
        <v>46</v>
      </c>
      <c r="P13" s="2" t="s">
        <v>46</v>
      </c>
      <c r="Q13" s="2" t="s">
        <v>131</v>
      </c>
      <c r="R13" s="2" t="s">
        <v>47</v>
      </c>
      <c r="S13" s="2" t="s">
        <v>48</v>
      </c>
      <c r="T13" s="2" t="s">
        <v>56</v>
      </c>
      <c r="U13" s="2" t="s">
        <v>45</v>
      </c>
      <c r="V13" s="2" t="s">
        <v>91</v>
      </c>
      <c r="W13" s="2" t="s">
        <v>91</v>
      </c>
      <c r="X13" s="2"/>
      <c r="Y13" s="2" t="s">
        <v>48</v>
      </c>
      <c r="Z13" s="2" t="s">
        <v>56</v>
      </c>
      <c r="AA13" s="2"/>
      <c r="AB13" s="2" t="s">
        <v>46</v>
      </c>
      <c r="AC13" s="2" t="s">
        <v>91</v>
      </c>
      <c r="AD13" s="2" t="s">
        <v>54</v>
      </c>
      <c r="AE13" s="2"/>
      <c r="AF13" s="2" t="s">
        <v>47</v>
      </c>
      <c r="AG13" s="6">
        <v>46185</v>
      </c>
      <c r="AH13" s="2" t="str">
        <f t="shared" si="0"/>
        <v>Exclude from final included dataset</v>
      </c>
    </row>
    <row r="14" spans="1:34" ht="41.15" customHeight="1">
      <c r="A14" s="2">
        <v>13</v>
      </c>
      <c r="B14" s="2" t="s">
        <v>34</v>
      </c>
      <c r="C14" s="2" t="s">
        <v>132</v>
      </c>
      <c r="D14" s="2" t="s">
        <v>133</v>
      </c>
      <c r="E14" s="2" t="s">
        <v>108</v>
      </c>
      <c r="F14" s="2" t="s">
        <v>38</v>
      </c>
      <c r="G14" s="2" t="s">
        <v>134</v>
      </c>
      <c r="H14" s="2" t="s">
        <v>135</v>
      </c>
      <c r="I14" s="2" t="s">
        <v>136</v>
      </c>
      <c r="J14" s="2" t="s">
        <v>79</v>
      </c>
      <c r="K14" s="2" t="s">
        <v>43</v>
      </c>
      <c r="L14" s="2" t="s">
        <v>48</v>
      </c>
      <c r="M14" s="2" t="s">
        <v>137</v>
      </c>
      <c r="N14" s="2" t="s">
        <v>54</v>
      </c>
      <c r="O14" s="2" t="s">
        <v>46</v>
      </c>
      <c r="P14" s="2" t="s">
        <v>46</v>
      </c>
      <c r="Q14" s="2" t="s">
        <v>138</v>
      </c>
      <c r="R14" s="2" t="s">
        <v>47</v>
      </c>
      <c r="S14" s="2" t="s">
        <v>48</v>
      </c>
      <c r="T14" s="2" t="s">
        <v>137</v>
      </c>
      <c r="U14" s="2" t="s">
        <v>45</v>
      </c>
      <c r="V14" s="2" t="s">
        <v>91</v>
      </c>
      <c r="W14" s="2" t="s">
        <v>91</v>
      </c>
      <c r="X14" s="2" t="s">
        <v>139</v>
      </c>
      <c r="Y14" s="2" t="s">
        <v>48</v>
      </c>
      <c r="Z14" s="2" t="s">
        <v>56</v>
      </c>
      <c r="AA14" s="2"/>
      <c r="AB14" s="2" t="s">
        <v>46</v>
      </c>
      <c r="AC14" s="2" t="s">
        <v>91</v>
      </c>
      <c r="AD14" s="2" t="s">
        <v>54</v>
      </c>
      <c r="AE14" s="2"/>
      <c r="AF14" s="2" t="s">
        <v>47</v>
      </c>
      <c r="AG14" s="6">
        <v>46185</v>
      </c>
      <c r="AH14" s="2" t="str">
        <f t="shared" si="0"/>
        <v>Exclude from final included dataset</v>
      </c>
    </row>
    <row r="15" spans="1:34" ht="41.15" customHeight="1">
      <c r="A15" s="2">
        <v>14</v>
      </c>
      <c r="B15" s="2" t="s">
        <v>140</v>
      </c>
      <c r="C15" s="2" t="s">
        <v>141</v>
      </c>
      <c r="D15" s="2" t="s">
        <v>142</v>
      </c>
      <c r="E15" s="2" t="s">
        <v>108</v>
      </c>
      <c r="F15" s="2" t="s">
        <v>61</v>
      </c>
      <c r="G15" s="2" t="s">
        <v>143</v>
      </c>
      <c r="H15" s="2" t="s">
        <v>144</v>
      </c>
      <c r="I15" s="2" t="s">
        <v>145</v>
      </c>
      <c r="J15" s="2" t="s">
        <v>146</v>
      </c>
      <c r="K15" s="2" t="s">
        <v>43</v>
      </c>
      <c r="L15" s="2" t="s">
        <v>48</v>
      </c>
      <c r="M15" s="2" t="s">
        <v>56</v>
      </c>
      <c r="N15" s="2" t="s">
        <v>45</v>
      </c>
      <c r="O15" s="2" t="s">
        <v>46</v>
      </c>
      <c r="P15" s="2" t="s">
        <v>46</v>
      </c>
      <c r="Q15" s="2"/>
      <c r="R15" s="2" t="s">
        <v>47</v>
      </c>
      <c r="S15" s="2" t="s">
        <v>48</v>
      </c>
      <c r="T15" s="2" t="s">
        <v>56</v>
      </c>
      <c r="U15" s="2" t="s">
        <v>45</v>
      </c>
      <c r="V15" s="2" t="s">
        <v>46</v>
      </c>
      <c r="W15" s="2" t="s">
        <v>46</v>
      </c>
      <c r="X15" s="2" t="s">
        <v>147</v>
      </c>
      <c r="Y15" s="2" t="s">
        <v>48</v>
      </c>
      <c r="Z15" s="2"/>
      <c r="AA15" s="2"/>
      <c r="AB15" s="2"/>
      <c r="AC15" s="2"/>
      <c r="AD15" s="2"/>
      <c r="AE15" s="2"/>
      <c r="AF15" s="2"/>
      <c r="AG15" s="2"/>
      <c r="AH15" s="2" t="str">
        <f t="shared" si="0"/>
        <v>Exclude from final included dataset</v>
      </c>
    </row>
  </sheetData>
  <conditionalFormatting sqref="B2:B15">
    <cfRule type="expression" dxfId="2" priority="2">
      <formula>$B2="Substantive decision conflict"</formula>
    </cfRule>
    <cfRule type="expression" dxfId="1" priority="3">
      <formula>$B2="Formatting-only mismatch (trim/line break)"</formula>
    </cfRule>
  </conditionalFormatting>
  <conditionalFormatting sqref="Y2:Y15">
    <cfRule type="expression" dxfId="0" priority="1">
      <formula>LEN($Y2)=0</formula>
    </cfRule>
  </conditionalFormatting>
  <dataValidations count="6">
    <dataValidation type="list" sqref="Y2:Y15" xr:uid="{00000000-0002-0000-0000-000000000000}">
      <formula1>"Include,Exclude,Formatting only,Unclear/manual escalation"</formula1>
    </dataValidation>
    <dataValidation type="list" sqref="Z2:Z15" xr:uid="{00000000-0002-0000-0000-000001000000}">
      <formula1>_xlfn._LONGTEXT("Abstract book/poster compilation,Context/review/methodological reference,Not PE/HDP,Not ML/AI,Traditional statistical model without explicit ML/AI,Not individual-level PE/HDP prediction,Operational/service-demand forecasting,Insufficient abstract-level ev","idence,Duplicate/metadata problem,Other")</formula1>
    </dataValidation>
    <dataValidation type="list" sqref="AA2:AA15" xr:uid="{00000000-0002-0000-0000-000002000000}">
      <formula1>"Primary PE/HDP ML/AI prediction,Primary ML/AI related PE complication/outcome,Include only for background/reference,Excluded from RQ denominators,Other"</formula1>
    </dataValidation>
    <dataValidation type="list" sqref="AB2:AB15" xr:uid="{00000000-0002-0000-0000-000003000000}">
      <formula1>"Yes,No"</formula1>
    </dataValidation>
    <dataValidation type="list" sqref="AC2:AC15" xr:uid="{00000000-0002-0000-0000-000004000000}">
      <formula1>"Yes,No,Not needed"</formula1>
    </dataValidation>
    <dataValidation type="list" sqref="AD2:AD15" xr:uid="{00000000-0002-0000-0000-000005000000}">
      <formula1>"High,Medium,Low"</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ColWidth="9" defaultRowHeight="14.15"/>
  <cols>
    <col min="1" max="1" width="30" customWidth="1"/>
    <col min="2" max="2" width="90" customWidth="1"/>
  </cols>
  <sheetData>
    <row r="1" spans="1:2">
      <c r="A1" s="3" t="s">
        <v>148</v>
      </c>
      <c r="B1" s="3" t="s">
        <v>149</v>
      </c>
    </row>
    <row r="2" spans="1:2">
      <c r="A2" t="s">
        <v>24</v>
      </c>
      <c r="B2" t="s">
        <v>150</v>
      </c>
    </row>
    <row r="3" spans="1:2">
      <c r="A3" t="s">
        <v>25</v>
      </c>
      <c r="B3" t="s">
        <v>151</v>
      </c>
    </row>
    <row r="4" spans="1:2">
      <c r="A4" t="s">
        <v>26</v>
      </c>
      <c r="B4" t="s">
        <v>152</v>
      </c>
    </row>
    <row r="5" spans="1:2">
      <c r="A5" t="s">
        <v>27</v>
      </c>
      <c r="B5" t="s">
        <v>153</v>
      </c>
    </row>
    <row r="6" spans="1:2">
      <c r="A6" t="s">
        <v>28</v>
      </c>
      <c r="B6" t="s">
        <v>154</v>
      </c>
    </row>
    <row r="7" spans="1:2">
      <c r="A7" t="s">
        <v>29</v>
      </c>
      <c r="B7" t="s">
        <v>155</v>
      </c>
    </row>
    <row r="8" spans="1:2">
      <c r="A8" t="s">
        <v>30</v>
      </c>
      <c r="B8" t="s">
        <v>156</v>
      </c>
    </row>
    <row r="9" spans="1:2">
      <c r="A9" t="s">
        <v>33</v>
      </c>
      <c r="B9" t="s">
        <v>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heetViews>
  <sheetFormatPr defaultColWidth="9" defaultRowHeight="14.15"/>
  <cols>
    <col min="1" max="1" width="34" customWidth="1"/>
    <col min="2" max="2" width="18" customWidth="1"/>
    <col min="3" max="3" width="68" customWidth="1"/>
  </cols>
  <sheetData>
    <row r="1" spans="1:3">
      <c r="A1" s="3" t="s">
        <v>158</v>
      </c>
      <c r="B1" s="3" t="s">
        <v>159</v>
      </c>
      <c r="C1" s="3" t="s">
        <v>160</v>
      </c>
    </row>
    <row r="2" spans="1:3">
      <c r="A2" t="s">
        <v>161</v>
      </c>
      <c r="B2">
        <v>14</v>
      </c>
      <c r="C2" t="s">
        <v>162</v>
      </c>
    </row>
    <row r="3" spans="1:3">
      <c r="A3" t="s">
        <v>163</v>
      </c>
      <c r="B3">
        <f>COUNTIF(Conflicts_for_Consensus!B:B,"Substantive decision conflict")</f>
        <v>13</v>
      </c>
      <c r="C3" t="s">
        <v>164</v>
      </c>
    </row>
    <row r="4" spans="1:3">
      <c r="A4" t="s">
        <v>165</v>
      </c>
      <c r="B4">
        <f>COUNTIF(Conflicts_for_Consensus!B:B,"Formatting-only mismatch (trim/line break)")</f>
        <v>1</v>
      </c>
      <c r="C4" t="s">
        <v>166</v>
      </c>
    </row>
    <row r="5" spans="1:3">
      <c r="A5" t="s">
        <v>167</v>
      </c>
      <c r="B5">
        <f>COUNTIF(Conflicts_for_Consensus!Y:Y,"Include")+COUNTIF(Conflicts_for_Consensus!Y:Y,"Exclude")+COUNTIF(Conflicts_for_Consensus!Y:Y,"Formatting only")</f>
        <v>14</v>
      </c>
      <c r="C5" t="s">
        <v>168</v>
      </c>
    </row>
    <row r="6" spans="1:3">
      <c r="A6" t="s">
        <v>169</v>
      </c>
      <c r="B6">
        <f>COUNTA(Conflicts_for_Consensus!D:D)-1-B5</f>
        <v>0</v>
      </c>
      <c r="C6" t="s">
        <v>170</v>
      </c>
    </row>
    <row r="7" spans="1:3">
      <c r="A7" t="s">
        <v>171</v>
      </c>
      <c r="B7">
        <f>COUNTIF(Conflicts_for_Consensus!Y:Y,"Include")</f>
        <v>2</v>
      </c>
      <c r="C7" t="s">
        <v>172</v>
      </c>
    </row>
    <row r="8" spans="1:3">
      <c r="A8" t="s">
        <v>173</v>
      </c>
      <c r="B8">
        <f>COUNTIF(Conflicts_for_Consensus!Y:Y,"Exclude")</f>
        <v>12</v>
      </c>
      <c r="C8" t="s">
        <v>174</v>
      </c>
    </row>
    <row r="9" spans="1:3">
      <c r="A9" t="s">
        <v>175</v>
      </c>
      <c r="B9" t="s">
        <v>176</v>
      </c>
      <c r="C9" t="s">
        <v>177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ColWidth="9" defaultRowHeight="14.15"/>
  <cols>
    <col min="1" max="1" width="20" customWidth="1"/>
    <col min="2" max="2" width="110" customWidth="1"/>
  </cols>
  <sheetData>
    <row r="1" spans="1:2" ht="28.3">
      <c r="A1" s="4" t="s">
        <v>178</v>
      </c>
      <c r="B1" s="4" t="s">
        <v>179</v>
      </c>
    </row>
    <row r="2" spans="1:2">
      <c r="A2" t="s">
        <v>180</v>
      </c>
      <c r="B2" t="s">
        <v>181</v>
      </c>
    </row>
    <row r="3" spans="1:2">
      <c r="A3" t="s">
        <v>182</v>
      </c>
      <c r="B3" t="s">
        <v>183</v>
      </c>
    </row>
    <row r="4" spans="1:2">
      <c r="A4" t="s">
        <v>184</v>
      </c>
      <c r="B4"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Conflicts_for_Consensus</vt:lpstr>
      <vt:lpstr>Data_Dictionary</vt:lpstr>
      <vt:lpstr>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Andrés Bastidas</cp:lastModifiedBy>
  <dcterms:modified xsi:type="dcterms:W3CDTF">2026-06-13T11:31:37Z</dcterms:modified>
</cp:coreProperties>
</file>